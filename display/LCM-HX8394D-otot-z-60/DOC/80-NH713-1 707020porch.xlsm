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8310" yWindow="450" windowWidth="5805" windowHeight="10080" firstSheet="2" activeTab="4"/>
  </bookViews>
  <sheets>
    <sheet name="QTI_Title_Page" sheetId="8" r:id="rId1"/>
    <sheet name="Rev. History" sheetId="4" r:id="rId2"/>
    <sheet name="User Instructions" sheetId="5" r:id="rId3"/>
    <sheet name="DSI and MDP registers" sheetId="6" r:id="rId4"/>
    <sheet name="DSI PHY timing setting" sheetId="7" r:id="rId5"/>
  </sheets>
  <definedNames>
    <definedName name="_xlnm.Print_Area" localSheetId="4">'DSI PHY timing setting'!$A$1:$J$51</definedName>
    <definedName name="_xlnm.Print_Area" localSheetId="0">QTI_Title_Page!$A$1:$A$15</definedName>
    <definedName name="_xlnm.Print_Area" localSheetId="1">'Rev. History'!$A$1:$E$9</definedName>
    <definedName name="_xlnm.Print_Area" localSheetId="2">'User Instructions'!$A$1:$P$23</definedName>
    <definedName name="strQCTDocumentName" localSheetId="0">QTI_Title_Page!$A$2</definedName>
    <definedName name="strQCTDocumentName">#REF!</definedName>
    <definedName name="vQCTAddress" localSheetId="0">QTI_Title_Page!$A$14</definedName>
    <definedName name="vQCTAddress">#REF!</definedName>
    <definedName name="vQCTCopyright" localSheetId="0">QTI_Title_Page!$A$15</definedName>
    <definedName name="vQCTCopyright">#REF!</definedName>
    <definedName name="vQCTCopyrightHolder" localSheetId="0">QTI_Title_Page!$A$1001</definedName>
    <definedName name="vQCTCopyrightHolder">#REF!</definedName>
    <definedName name="vQCTDistribution1" localSheetId="0">QTI_Title_Page!$A$9</definedName>
    <definedName name="vQCTDistribution1">#REF!</definedName>
    <definedName name="vQCTDistribution2" localSheetId="0">QTI_Title_Page!$A$10</definedName>
    <definedName name="vQCTDistribution2">#REF!</definedName>
    <definedName name="vQCTDistribution3" localSheetId="0">QTI_Title_Page!$A$11</definedName>
    <definedName name="vQCTDistribution3">#REF!</definedName>
    <definedName name="vQCTDistribution4" localSheetId="0">QTI_Title_Page!$A$12</definedName>
    <definedName name="vQCTDistribution4">#REF!</definedName>
    <definedName name="vQCTDocumentDate" localSheetId="0">QTI_Title_Page!$A$5</definedName>
    <definedName name="vQCTDocumentDate">#REF!</definedName>
    <definedName name="vQCTDocumentDCN" localSheetId="0">QTI_Title_Page!$A$4</definedName>
    <definedName name="vQCTDocumentDCN">#REF!</definedName>
    <definedName name="vQCTDocumentName" localSheetId="0">QTI_Title_Page!$A$2</definedName>
    <definedName name="vQCTDocumentName">#REF!</definedName>
    <definedName name="vQCTDocumentType" localSheetId="0">QTI_Title_Page!$A$3</definedName>
    <definedName name="vQCTDocumentType">#REF!</definedName>
    <definedName name="vQCTLogoHolder" localSheetId="0">QTI_Title_Page!$A$1</definedName>
    <definedName name="vQCTLogoHolder">#REF!</definedName>
    <definedName name="vQCTStmtTitle" localSheetId="0">QTI_Title_Page!$A$7</definedName>
    <definedName name="vQCTStmtTitle">#REF!</definedName>
    <definedName name="vQCTSupportInfo" localSheetId="0">QTI_Title_Page!$A$6</definedName>
    <definedName name="vQCTSupportInfo">#REF!</definedName>
    <definedName name="vQTICopyrightHolder" localSheetId="0">QTI_Title_Page!$A$1003</definedName>
    <definedName name="vQTICopyrightHolder">#REF!</definedName>
    <definedName name="vQTIDistribution0.5" localSheetId="0">QTI_Title_Page!$A$8</definedName>
    <definedName name="vQTIDistribution0.5">#REF!</definedName>
    <definedName name="vQTIEntityName" localSheetId="0">QTI_Title_Page!$A$1002</definedName>
    <definedName name="vQTIEntityName">#REF!</definedName>
    <definedName name="vRevisionDate">'Rev. History'!$D$4</definedName>
  </definedNames>
  <calcPr calcId="124519" calcMode="manual"/>
</workbook>
</file>

<file path=xl/calcChain.xml><?xml version="1.0" encoding="utf-8"?>
<calcChain xmlns="http://schemas.openxmlformats.org/spreadsheetml/2006/main">
  <c r="G11" i="7"/>
  <c r="G10"/>
  <c r="C13" i="6" l="1"/>
  <c r="C18"/>
  <c r="B71" l="1"/>
  <c r="B76"/>
  <c r="B79" l="1"/>
  <c r="B86"/>
  <c r="B85"/>
  <c r="B84"/>
  <c r="B83"/>
  <c r="B82"/>
  <c r="B81"/>
  <c r="B80"/>
  <c r="B78"/>
  <c r="B77"/>
  <c r="C85" l="1"/>
  <c r="C86"/>
  <c r="B39" i="7" l="1"/>
  <c r="B38"/>
  <c r="B4"/>
  <c r="H20" s="1"/>
  <c r="C33" i="6"/>
  <c r="C34"/>
  <c r="C44"/>
  <c r="C45"/>
  <c r="C46"/>
  <c r="C51"/>
  <c r="C67" s="1"/>
  <c r="C55"/>
  <c r="C69" s="1"/>
  <c r="C56"/>
  <c r="C57"/>
  <c r="C58"/>
  <c r="C59"/>
  <c r="C60"/>
  <c r="C61"/>
  <c r="C68"/>
  <c r="C65" l="1"/>
  <c r="C35"/>
  <c r="C97" s="1"/>
  <c r="C64"/>
  <c r="C66"/>
  <c r="B6" i="7"/>
  <c r="C40" i="6"/>
  <c r="C90"/>
  <c r="C39"/>
  <c r="C18" i="7"/>
  <c r="C19"/>
  <c r="C20"/>
  <c r="H18"/>
  <c r="H19"/>
  <c r="C43" i="6"/>
  <c r="C42"/>
  <c r="C38"/>
  <c r="C41"/>
  <c r="B19" i="7" l="1"/>
  <c r="F19" s="1"/>
  <c r="B18"/>
  <c r="F18" s="1"/>
  <c r="B20"/>
  <c r="F20" s="1"/>
  <c r="C91" i="6"/>
  <c r="C92" s="1"/>
  <c r="C93" s="1"/>
  <c r="B3" i="7"/>
  <c r="F51" l="1"/>
  <c r="B5"/>
  <c r="F49"/>
  <c r="C99" i="6"/>
  <c r="C101"/>
  <c r="C98"/>
  <c r="C100"/>
  <c r="B23" i="7" l="1"/>
  <c r="F16"/>
  <c r="B24"/>
  <c r="B13"/>
  <c r="D13" s="1"/>
  <c r="C22"/>
  <c r="C12" s="1"/>
  <c r="E12" s="1"/>
  <c r="C13"/>
  <c r="E13" s="1"/>
  <c r="D17"/>
  <c r="F17" s="1"/>
  <c r="G17" s="1"/>
  <c r="B33" s="1"/>
  <c r="C80" i="6" s="1"/>
  <c r="C21" i="7"/>
  <c r="C15" s="1"/>
  <c r="E15" s="1"/>
  <c r="D12"/>
  <c r="D10"/>
  <c r="B15"/>
  <c r="D15" s="1"/>
  <c r="E10"/>
  <c r="F10" l="1"/>
  <c r="F13"/>
  <c r="G13" s="1"/>
  <c r="B35" s="1"/>
  <c r="C82" i="6" s="1"/>
  <c r="H17" i="7"/>
  <c r="D23" s="1"/>
  <c r="F23" s="1"/>
  <c r="G23" s="1"/>
  <c r="H23" s="1"/>
  <c r="F15"/>
  <c r="G15" s="1"/>
  <c r="G16"/>
  <c r="F12"/>
  <c r="G12" s="1"/>
  <c r="H13" l="1"/>
  <c r="B14" s="1"/>
  <c r="D14" s="1"/>
  <c r="F14" s="1"/>
  <c r="G14" s="1"/>
  <c r="H14" s="1"/>
  <c r="B36"/>
  <c r="C83" i="6" s="1"/>
  <c r="H15" i="7"/>
  <c r="H21" s="1"/>
  <c r="B30"/>
  <c r="C77" i="6" s="1"/>
  <c r="H12" i="7"/>
  <c r="H22" s="1"/>
  <c r="B31"/>
  <c r="C78" i="6" s="1"/>
  <c r="B37" i="7"/>
  <c r="C84" i="6" s="1"/>
  <c r="H16" i="7"/>
  <c r="H10" l="1"/>
  <c r="B11" s="1"/>
  <c r="D11" s="1"/>
  <c r="E11" s="1"/>
  <c r="B34"/>
  <c r="C81" i="6" s="1"/>
  <c r="H11" i="7" l="1"/>
  <c r="D24" s="1"/>
  <c r="B43" s="1"/>
  <c r="B32"/>
  <c r="C79" i="6" s="1"/>
  <c r="G4" i="7"/>
  <c r="B29"/>
  <c r="C76" i="6" s="1"/>
  <c r="F24" i="7" l="1"/>
  <c r="G24" s="1"/>
  <c r="B42" s="1"/>
  <c r="H24" l="1"/>
  <c r="H25" s="1"/>
</calcChain>
</file>

<file path=xl/comments1.xml><?xml version="1.0" encoding="utf-8"?>
<comments xmlns="http://schemas.openxmlformats.org/spreadsheetml/2006/main">
  <authors>
    <author>Qualcomm User</author>
    <author>Arun Ramanathan</author>
  </authors>
  <commentList>
    <comment ref="B22" authorId="0">
      <text>
        <r>
          <rPr>
            <b/>
            <sz val="9"/>
            <color indexed="81"/>
            <rFont val="Tahoma"/>
            <family val="2"/>
          </rPr>
          <t>Qualcomm User:</t>
        </r>
        <r>
          <rPr>
            <sz val="9"/>
            <color indexed="81"/>
            <rFont val="Tahoma"/>
            <family val="2"/>
          </rPr>
          <t xml:space="preserve">
Assumes ESCCLK source is PXO.</t>
        </r>
      </text>
    </comment>
    <comment ref="C22" authorId="0">
      <text>
        <r>
          <rPr>
            <b/>
            <sz val="9"/>
            <color indexed="81"/>
            <rFont val="Tahoma"/>
            <family val="2"/>
          </rPr>
          <t>Qualcomm User:</t>
        </r>
        <r>
          <rPr>
            <sz val="9"/>
            <color indexed="81"/>
            <rFont val="Tahoma"/>
            <family val="2"/>
          </rPr>
          <t xml:space="preserve">
Example Entries: 1, 1.5, 2, 2.5, … (see SWI for more possible entries)</t>
        </r>
      </text>
    </comment>
    <comment ref="B35" authorId="1">
      <text>
        <r>
          <rPr>
            <b/>
            <sz val="8"/>
            <color indexed="81"/>
            <rFont val="Tahoma"/>
            <family val="2"/>
          </rPr>
          <t xml:space="preserve">Arun Ramanathan:
</t>
        </r>
        <r>
          <rPr>
            <sz val="8"/>
            <color indexed="81"/>
            <rFont val="Tahoma"/>
            <family val="2"/>
          </rPr>
          <t>D</t>
        </r>
        <r>
          <rPr>
            <sz val="8"/>
            <color indexed="81"/>
            <rFont val="Tahoma"/>
            <family val="2"/>
          </rPr>
          <t>ot clock overclocking to support required porches.</t>
        </r>
      </text>
    </comment>
  </commentList>
</comments>
</file>

<file path=xl/comments2.xml><?xml version="1.0" encoding="utf-8"?>
<comments xmlns="http://schemas.openxmlformats.org/spreadsheetml/2006/main">
  <authors>
    <author>Qualcomm</author>
    <author>Qualcomm User</author>
  </authors>
  <commentList>
    <comment ref="D8" author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text>
        <r>
          <rPr>
            <b/>
            <sz val="8"/>
            <color indexed="81"/>
            <rFont val="Tahoma"/>
            <family val="2"/>
          </rPr>
          <t>Qualcomm:</t>
        </r>
        <r>
          <rPr>
            <sz val="8"/>
            <color indexed="81"/>
            <rFont val="Tahoma"/>
            <family val="2"/>
          </rPr>
          <t xml:space="preserve">
actual period at the DSI link</t>
        </r>
      </text>
    </comment>
    <comment ref="C12" authorId="0">
      <text>
        <r>
          <rPr>
            <b/>
            <sz val="8"/>
            <color indexed="81"/>
            <rFont val="Tahoma"/>
            <family val="2"/>
          </rPr>
          <t>Qualcomm:</t>
        </r>
        <r>
          <rPr>
            <sz val="8"/>
            <color indexed="81"/>
            <rFont val="Tahoma"/>
            <family val="2"/>
          </rPr>
          <t xml:space="preserve">
t_clk_trail must be smaller than max t_eot - treot. Treot = 20ns max</t>
        </r>
      </text>
    </comment>
    <comment ref="G14" authorId="0">
      <text>
        <r>
          <rPr>
            <b/>
            <sz val="8"/>
            <color indexed="81"/>
            <rFont val="Tahoma"/>
            <family val="2"/>
          </rPr>
          <t>Qualcomm:</t>
        </r>
        <r>
          <rPr>
            <sz val="8"/>
            <color indexed="81"/>
            <rFont val="Tahoma"/>
            <family val="2"/>
          </rPr>
          <t xml:space="preserve">
must be greater than 24
</t>
        </r>
      </text>
    </comment>
    <comment ref="C15" authorId="0">
      <text>
        <r>
          <rPr>
            <b/>
            <sz val="8"/>
            <color indexed="81"/>
            <rFont val="Tahoma"/>
            <family val="2"/>
          </rPr>
          <t>Qualcomm:</t>
        </r>
        <r>
          <rPr>
            <sz val="8"/>
            <color indexed="81"/>
            <rFont val="Tahoma"/>
            <family val="2"/>
          </rPr>
          <t xml:space="preserve">
t_hs_trail must be smaller than max t_eot - treot. Treot = 20ns max</t>
        </r>
      </text>
    </comment>
    <comment ref="G16" authorId="0">
      <text>
        <r>
          <rPr>
            <b/>
            <sz val="8"/>
            <color indexed="81"/>
            <rFont val="Tahoma"/>
            <family val="2"/>
          </rPr>
          <t>Qualcomm:</t>
        </r>
        <r>
          <rPr>
            <sz val="8"/>
            <color indexed="81"/>
            <rFont val="Tahoma"/>
            <family val="2"/>
          </rPr>
          <t xml:space="preserve">
program this to an integer close to bitclk / escclk </t>
        </r>
      </text>
    </comment>
    <comment ref="H21" authorId="0">
      <text>
        <r>
          <rPr>
            <b/>
            <sz val="8"/>
            <color indexed="81"/>
            <rFont val="Tahoma"/>
            <family val="2"/>
          </rPr>
          <t>Qualcomm:</t>
        </r>
        <r>
          <rPr>
            <sz val="8"/>
            <color indexed="81"/>
            <rFont val="Tahoma"/>
            <family val="2"/>
          </rPr>
          <t xml:space="preserve">
teot = t_hs_trail + avg treot.</t>
        </r>
      </text>
    </comment>
    <comment ref="H22" authorId="0">
      <text>
        <r>
          <rPr>
            <b/>
            <sz val="8"/>
            <color indexed="81"/>
            <rFont val="Tahoma"/>
            <family val="2"/>
          </rPr>
          <t>Qualcomm:</t>
        </r>
        <r>
          <rPr>
            <sz val="8"/>
            <color indexed="81"/>
            <rFont val="Tahoma"/>
            <family val="2"/>
          </rPr>
          <t xml:space="preserve">
teot = t_clk_trail + avg 
treot.</t>
        </r>
      </text>
    </comment>
    <comment ref="H23" authorId="0">
      <text>
        <r>
          <rPr>
            <b/>
            <sz val="8"/>
            <color indexed="81"/>
            <rFont val="Tahoma"/>
            <family val="2"/>
          </rPr>
          <t>Qualcomm:</t>
        </r>
        <r>
          <rPr>
            <sz val="8"/>
            <color indexed="81"/>
            <rFont val="Tahoma"/>
            <family val="2"/>
          </rPr>
          <t xml:space="preserve">
Expected T_clk_post
= (program value + 1) x 8UI + t_hs_exit + 24 UI
</t>
        </r>
      </text>
    </comment>
    <comment ref="H24" authorId="0">
      <text>
        <r>
          <rPr>
            <b/>
            <sz val="8"/>
            <color indexed="81"/>
            <rFont val="Tahoma"/>
            <family val="2"/>
          </rPr>
          <t>Qualcomm:</t>
        </r>
        <r>
          <rPr>
            <sz val="8"/>
            <color indexed="81"/>
            <rFont val="Tahoma"/>
            <family val="2"/>
          </rPr>
          <t xml:space="preserve">
Expected T_clk_pre
= (program value + 1) x 8UI – 1 Tlpx – t_clk_prepare – t_clk_zero
</t>
        </r>
      </text>
    </comment>
    <comment ref="F51" authorId="1">
      <text>
        <r>
          <rPr>
            <b/>
            <sz val="9"/>
            <color indexed="81"/>
            <rFont val="Tahoma"/>
            <family val="2"/>
          </rPr>
          <t>Qualcomm User:</t>
        </r>
        <r>
          <rPr>
            <sz val="9"/>
            <color indexed="81"/>
            <rFont val="Tahoma"/>
            <family val="2"/>
          </rPr>
          <t xml:space="preserve">
</t>
        </r>
        <r>
          <rPr>
            <strike/>
            <sz val="9"/>
            <color indexed="81"/>
            <rFont val="Tahoma"/>
            <family val="2"/>
          </rPr>
          <t>* Fixed 50%
* Changed to 10 to help Tclk_pre not be too large.</t>
        </r>
        <r>
          <rPr>
            <sz val="9"/>
            <color indexed="81"/>
            <rFont val="Tahoma"/>
            <family val="2"/>
          </rPr>
          <t xml:space="preserve">
* Change to 10 and 40 based data rate, to give Tx-trail more margin to pass</t>
        </r>
      </text>
    </comment>
  </commentList>
</comments>
</file>

<file path=xl/sharedStrings.xml><?xml version="1.0" encoding="utf-8"?>
<sst xmlns="http://schemas.openxmlformats.org/spreadsheetml/2006/main" count="220" uniqueCount="192">
  <si>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</si>
  <si>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</si>
  <si>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</si>
  <si>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</si>
  <si>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</si>
  <si>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</si>
  <si>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</si>
  <si>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</si>
  <si>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</si>
  <si>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</si>
  <si>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</si>
  <si>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</si>
  <si>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</si>
  <si>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</si>
  <si>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</si>
  <si>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</si>
  <si>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</si>
  <si>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</si>
  <si>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</si>
  <si>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</si>
  <si>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</si>
  <si>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</si>
  <si>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</si>
  <si>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</si>
  <si>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</si>
  <si>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</si>
  <si>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</si>
  <si>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</si>
  <si>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</si>
  <si>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</si>
  <si>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</si>
  <si>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</si>
  <si>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</si>
  <si>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</si>
  <si>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</si>
  <si>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</si>
  <si>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</si>
  <si>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</si>
  <si>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</si>
  <si>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</si>
  <si>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</si>
  <si>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</si>
  <si>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</si>
  <si>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</si>
  <si>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</si>
  <si>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</si>
  <si>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</si>
  <si>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</si>
  <si>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</si>
  <si>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</si>
  <si>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</si>
  <si>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</si>
  <si>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</si>
  <si>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</si>
  <si>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</si>
  <si>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</si>
  <si>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</si>
  <si>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</si>
  <si>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</si>
  <si>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</si>
  <si>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</si>
  <si>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</si>
  <si>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</si>
  <si>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</si>
  <si>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</si>
  <si>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Vert. Back Porch + Vsync pulse width</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</si>
  <si>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</si>
  <si>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</si>
  <si>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</si>
  <si>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</si>
  <si>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</si>
  <si>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</si>
  <si>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</si>
  <si>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</si>
  <si>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</si>
  <si>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</si>
  <si>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</si>
  <si>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</si>
  <si>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</si>
  <si>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</si>
  <si>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</si>
  <si>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</si>
  <si>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</si>
  <si>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</si>
  <si>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</si>
  <si>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</si>
  <si>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</si>
  <si>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</si>
  <si>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</si>
  <si>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</si>
  <si>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</si>
  <si>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</si>
  <si>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</si>
  <si>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</si>
  <si>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</si>
  <si>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</si>
  <si>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</si>
  <si>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</si>
  <si>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</si>
  <si>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</si>
  <si>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</si>
  <si>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</si>
  <si>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r>
      <t>Submit technical questions to:</t>
    </r>
    <r>
      <rPr>
        <b/>
        <sz val="12"/>
        <color indexed="12"/>
        <rFont val="Arial"/>
        <family val="2"/>
      </rPr>
      <t xml:space="preserve">
</t>
    </r>
    <r>
      <rPr>
        <b/>
        <u/>
        <sz val="12"/>
        <color indexed="12"/>
        <rFont val="Arial"/>
        <family val="2"/>
      </rPr>
      <t>https://support.cdmatech.com</t>
    </r>
  </si>
  <si>
    <t xml:space="preserve">Qualcomm is a trademark of QUALCOMM Incorporated, registered in the United States and other countries. All QUALCOMM Incorporated trademarks are used with permission. Other product and brand names may be trademarks or registered trademarks of their respective owners. </t>
  </si>
  <si>
    <t>Qualcomm Technologies, Inc.
5775 Morehouse Drive
San Diego, CA 92121
U.S.A.</t>
  </si>
  <si>
    <t>2012</t>
  </si>
  <si>
    <t>Qualcomm Technologies, Incorporated</t>
  </si>
  <si>
    <t>Initial release</t>
  </si>
  <si>
    <t>A</t>
  </si>
  <si>
    <t>Description</t>
  </si>
  <si>
    <t>Date</t>
  </si>
  <si>
    <t>Revision</t>
  </si>
  <si>
    <t>Revision history</t>
  </si>
  <si>
    <t>Instructions</t>
  </si>
  <si>
    <t>DSI and MDP registers</t>
  </si>
  <si>
    <t>DSI PHY timing settings</t>
  </si>
  <si>
    <t>DSI Timing Parameters</t>
  </si>
  <si>
    <t>User Interactive Spreadsheet</t>
  </si>
  <si>
    <t>Confidential and Proprietary – Qualcomm Technologies, Inc.</t>
  </si>
  <si>
    <t>line time</t>
  </si>
  <si>
    <t>dec</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</si>
  <si>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</si>
  <si>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</si>
  <si>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</si>
  <si>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</si>
  <si>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</si>
  <si>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</si>
  <si>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</si>
  <si>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</si>
  <si>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</si>
  <si>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</si>
  <si>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</si>
  <si>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</si>
  <si>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</si>
  <si>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</si>
  <si>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actual value (ns)</t>
  </si>
  <si>
    <t>overhead in data transmission</t>
  </si>
  <si>
    <t>value in hex</t>
  </si>
  <si>
    <t>This calculator is only applicable for the following chips:</t>
  </si>
  <si>
    <t>8x26</t>
  </si>
  <si>
    <t>8x16</t>
  </si>
  <si>
    <t>8x62</t>
  </si>
  <si>
    <t>B</t>
  </si>
  <si>
    <t>August 2013</t>
  </si>
  <si>
    <t>Updated colors</t>
  </si>
  <si>
    <t>Tool Requirments</t>
  </si>
  <si>
    <t>C</t>
  </si>
  <si>
    <t>October 2013</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</si>
  <si>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</si>
  <si>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</si>
  <si>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</si>
  <si>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</si>
  <si>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</si>
  <si>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</si>
  <si>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</si>
  <si>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</si>
  <si>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</si>
  <si>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</si>
  <si>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</si>
  <si>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</si>
  <si>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</si>
  <si>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</si>
  <si>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r>
      <rPr>
        <b/>
        <sz val="10"/>
        <rFont val="Times New Roman"/>
        <family val="1"/>
      </rPr>
      <t>NO PUBLIC DISCLOSURE PERMITTED</t>
    </r>
    <r>
      <rPr>
        <sz val="10"/>
        <rFont val="Times New Roman"/>
        <family val="1"/>
      </rPr>
      <t xml:space="preserve">: Please report postings of this document on public servers or websites to: </t>
    </r>
    <r>
      <rPr>
        <u/>
        <sz val="10"/>
        <color rgb="FF0000FF"/>
        <rFont val="Times New Roman"/>
        <family val="1"/>
      </rPr>
      <t>DocCtrlAgent@qualcomm.com</t>
    </r>
    <r>
      <rPr>
        <sz val="10"/>
        <rFont val="Times New Roman"/>
        <family val="1"/>
      </rPr>
      <t xml:space="preserve"> </t>
    </r>
  </si>
  <si>
    <r>
      <t xml:space="preserve">Restricted Distribution: </t>
    </r>
    <r>
      <rPr>
        <sz val="10"/>
        <rFont val="Times New Roman"/>
        <family val="1"/>
      </rPr>
      <t>Not to be distributed to anyone who is not an employee of either Qualcomm or its subsidiaries without the express approval of Qualcomm's Configuration Management.</t>
    </r>
  </si>
  <si>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</si>
  <si>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</si>
  <si>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</si>
  <si>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Use Excel 2010 for proper macro operation.</t>
  </si>
  <si>
    <t xml:space="preserve">Fixed wrong Macro of DSI PHY timing register setting in "DSI and MDP registers" Tab </t>
  </si>
  <si>
    <t>D</t>
  </si>
  <si>
    <t>July 2, 2014</t>
  </si>
  <si>
    <t>July  2014</t>
  </si>
  <si>
    <t>Added 8994 and 8992 to applicable chipset in "User Instructions" Tab</t>
  </si>
  <si>
    <t>80-NH713-1 Rev. D</t>
  </si>
  <si>
    <t>1.</t>
  </si>
  <si>
    <t>2.</t>
  </si>
  <si>
    <t>3.</t>
  </si>
  <si>
    <t>Click the "Check" button from the "DSI Timining Program" ribbon.</t>
  </si>
  <si>
    <t>Click the "DSI Timing Program" tab from the ribbon if not already active.</t>
  </si>
  <si>
    <t>Enter the DSI video prameters on the "DSI and MDP Registers" worksheet.</t>
  </si>
  <si>
    <t>Click "Reset" from the "DSI Timing Program" ribbon</t>
  </si>
  <si>
    <t>Specify desired data rate (entered manually in cell B3 on the "DSI PHY Timing Settings" worksheet or from the  "DSI and MDP registers" worksheet's calculation.</t>
  </si>
  <si>
    <t>Click "Validate" to validate T_CLK_ZERO.  Cell G4 on the "DSI PHY Timing Settings" worksheet should state "VALID" after performing this step.</t>
  </si>
  <si>
    <t xml:space="preserve"> © 2013-2014 Qualcomm Technologies, Inc.</t>
  </si>
  <si>
    <t>70D</t>
  </si>
  <si>
    <t>PHY Registers (address)</t>
  </si>
  <si>
    <t>Escclk source (mxo = 27MHz or pxo = 24MHz)</t>
    <phoneticPr fontId="50" type="noConversion"/>
  </si>
  <si>
    <t>MHz</t>
    <phoneticPr fontId="50" type="noConversion"/>
  </si>
  <si>
    <t>ok</t>
    <phoneticPr fontId="50" type="noConversion"/>
  </si>
  <si>
    <t>ok</t>
    <phoneticPr fontId="50" type="noConversion"/>
  </si>
  <si>
    <t>ok</t>
    <phoneticPr fontId="50" type="noConversion"/>
  </si>
  <si>
    <t>Check done!</t>
    <phoneticPr fontId="50" type="noConversion"/>
  </si>
</sst>
</file>

<file path=xl/styles.xml><?xml version="1.0" encoding="utf-8"?>
<styleSheet xmlns="http://schemas.openxmlformats.org/spreadsheetml/2006/main">
  <numFmts count="4">
    <numFmt numFmtId="176" formatCode="00000000"/>
    <numFmt numFmtId="177" formatCode="[$-409]mmmm\ d\,\ yyyy;@"/>
    <numFmt numFmtId="178" formatCode="mmmm\ yyyy"/>
    <numFmt numFmtId="179" formatCode="[$-409]d\-mmm\-yy;@"/>
  </numFmts>
  <fonts count="51">
    <font>
      <sz val="10"/>
      <color theme="1"/>
      <name val="Arial"/>
      <family val="2"/>
    </font>
    <font>
      <sz val="11"/>
      <color theme="1"/>
      <name val="宋体"/>
      <family val="2"/>
      <scheme val="minor"/>
    </font>
    <font>
      <b/>
      <sz val="10"/>
      <color theme="1"/>
      <name val="Arial"/>
      <family val="2"/>
    </font>
    <font>
      <i/>
      <sz val="10"/>
      <name val="Arial"/>
      <family val="2"/>
    </font>
    <font>
      <b/>
      <sz val="10"/>
      <name val="Arial"/>
      <family val="2"/>
    </font>
    <font>
      <b/>
      <sz val="8"/>
      <color indexed="81"/>
      <name val="Tahoma"/>
      <family val="2"/>
    </font>
    <font>
      <sz val="8"/>
      <color indexed="81"/>
      <name val="Tahoma"/>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9"/>
      <color indexed="81"/>
      <name val="Tahoma"/>
      <family val="2"/>
    </font>
    <font>
      <b/>
      <sz val="9"/>
      <color indexed="81"/>
      <name val="Tahoma"/>
      <family val="2"/>
    </font>
    <font>
      <sz val="10"/>
      <name val="Arial"/>
      <family val="2"/>
    </font>
    <font>
      <b/>
      <i/>
      <sz val="24"/>
      <name val="Arial"/>
      <family val="2"/>
    </font>
    <font>
      <b/>
      <i/>
      <sz val="16"/>
      <name val="Arial"/>
      <family val="2"/>
    </font>
    <font>
      <b/>
      <i/>
      <sz val="12"/>
      <name val="Arial"/>
      <family val="2"/>
    </font>
    <font>
      <u/>
      <sz val="10"/>
      <color indexed="12"/>
      <name val="Arial"/>
      <family val="2"/>
    </font>
    <font>
      <b/>
      <sz val="12"/>
      <name val="Arial"/>
      <family val="2"/>
    </font>
    <font>
      <b/>
      <sz val="12"/>
      <color indexed="12"/>
      <name val="Arial"/>
      <family val="2"/>
    </font>
    <font>
      <b/>
      <u/>
      <sz val="12"/>
      <color indexed="12"/>
      <name val="Arial"/>
      <family val="2"/>
    </font>
    <font>
      <b/>
      <sz val="11"/>
      <name val="Arial"/>
      <family val="2"/>
    </font>
    <font>
      <b/>
      <sz val="10"/>
      <name val="Times New Roman"/>
      <family val="1"/>
    </font>
    <font>
      <sz val="10"/>
      <name val="Times New Roman"/>
      <family val="1"/>
    </font>
    <font>
      <sz val="10"/>
      <color theme="0"/>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trike/>
      <sz val="9"/>
      <color indexed="81"/>
      <name val="Tahoma"/>
      <family val="2"/>
    </font>
    <font>
      <sz val="10"/>
      <color rgb="FF006100"/>
      <name val="Arial"/>
      <family val="2"/>
    </font>
    <font>
      <sz val="10"/>
      <name val="Arial"/>
      <family val="2"/>
    </font>
    <font>
      <u/>
      <sz val="10"/>
      <color rgb="FF0000FF"/>
      <name val="Times New Roman"/>
      <family val="1"/>
    </font>
    <font>
      <sz val="9"/>
      <name val="宋体"/>
      <family val="3"/>
      <charset val="134"/>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90">
    <xf numFmtId="0" fontId="0" fillId="0" borderId="0"/>
    <xf numFmtId="0" fontId="16" fillId="0" borderId="0"/>
    <xf numFmtId="0" fontId="20" fillId="0" borderId="0" applyNumberFormat="0" applyFill="0" applyBorder="0" applyAlignment="0" applyProtection="0">
      <alignment vertical="top"/>
      <protection locked="0"/>
    </xf>
    <xf numFmtId="0" fontId="1" fillId="0" borderId="0"/>
    <xf numFmtId="0" fontId="1" fillId="0" borderId="0"/>
    <xf numFmtId="0" fontId="1"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7" fillId="0" borderId="0"/>
    <xf numFmtId="0" fontId="48" fillId="0" borderId="0"/>
    <xf numFmtId="0" fontId="47" fillId="5" borderId="0" applyNumberFormat="0" applyBorder="0" applyAlignment="0" applyProtection="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13" fillId="0" borderId="0"/>
    <xf numFmtId="179" fontId="13" fillId="0" borderId="0"/>
    <xf numFmtId="0" fontId="1" fillId="0" borderId="0"/>
    <xf numFmtId="179" fontId="13" fillId="0" borderId="0"/>
    <xf numFmtId="179" fontId="13" fillId="0" borderId="0"/>
    <xf numFmtId="0" fontId="1" fillId="0" borderId="0"/>
    <xf numFmtId="0" fontId="1" fillId="0" borderId="0"/>
    <xf numFmtId="179" fontId="13" fillId="0" borderId="0"/>
    <xf numFmtId="179" fontId="13" fillId="0" borderId="0"/>
    <xf numFmtId="179" fontId="13" fillId="0" borderId="0"/>
    <xf numFmtId="179" fontId="7" fillId="0" borderId="0"/>
    <xf numFmtId="179" fontId="7" fillId="0" borderId="0"/>
  </cellStyleXfs>
  <cellXfs count="114">
    <xf numFmtId="0" fontId="0" fillId="0" borderId="0" xfId="0"/>
    <xf numFmtId="0" fontId="3" fillId="0" borderId="0" xfId="0" applyFont="1"/>
    <xf numFmtId="0" fontId="4" fillId="0" borderId="0" xfId="0" applyFont="1" applyAlignment="1">
      <alignment horizontal="center"/>
    </xf>
    <xf numFmtId="0" fontId="2" fillId="0" borderId="0" xfId="0" applyFont="1"/>
    <xf numFmtId="0" fontId="0" fillId="0" borderId="0" xfId="0" applyAlignment="1">
      <alignment horizontal="center"/>
    </xf>
    <xf numFmtId="0" fontId="8" fillId="0" borderId="0" xfId="0" applyFont="1" applyAlignment="1">
      <alignment horizontal="center"/>
    </xf>
    <xf numFmtId="0" fontId="2" fillId="0" borderId="0" xfId="0" applyFont="1" applyAlignment="1">
      <alignment horizontal="center"/>
    </xf>
    <xf numFmtId="0" fontId="7" fillId="0" borderId="0" xfId="0" applyFont="1" applyAlignment="1">
      <alignment horizontal="right"/>
    </xf>
    <xf numFmtId="0" fontId="11" fillId="0" borderId="0" xfId="0" applyFont="1"/>
    <xf numFmtId="2" fontId="7" fillId="0" borderId="0" xfId="0" applyNumberFormat="1" applyFont="1"/>
    <xf numFmtId="0" fontId="4" fillId="0" borderId="0" xfId="0" applyFont="1" applyFill="1"/>
    <xf numFmtId="0" fontId="0" fillId="3" borderId="0" xfId="0" applyFill="1"/>
    <xf numFmtId="0" fontId="11"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2" fillId="2" borderId="1" xfId="0" applyFont="1" applyFill="1" applyBorder="1" applyAlignment="1">
      <alignment horizontal="center" vertical="center"/>
    </xf>
    <xf numFmtId="9" fontId="2" fillId="2" borderId="1" xfId="0" applyNumberFormat="1" applyFont="1" applyFill="1" applyBorder="1" applyAlignment="1">
      <alignment horizontal="center"/>
    </xf>
    <xf numFmtId="0" fontId="2" fillId="0" borderId="1" xfId="0" applyFont="1" applyBorder="1" applyAlignment="1">
      <alignment horizontal="center"/>
    </xf>
    <xf numFmtId="0" fontId="9" fillId="0" borderId="1" xfId="0" applyFont="1" applyBorder="1" applyAlignment="1">
      <alignment horizontal="center"/>
    </xf>
    <xf numFmtId="0" fontId="8" fillId="0" borderId="1" xfId="0" applyFont="1" applyBorder="1" applyAlignment="1">
      <alignment horizontal="center"/>
    </xf>
    <xf numFmtId="0" fontId="2" fillId="2" borderId="1" xfId="0" applyFont="1" applyFill="1" applyBorder="1"/>
    <xf numFmtId="0" fontId="0" fillId="0" borderId="1" xfId="0" applyNumberFormat="1" applyBorder="1" applyAlignment="1">
      <alignment horizontal="center"/>
    </xf>
    <xf numFmtId="0" fontId="0" fillId="0" borderId="1" xfId="0" applyBorder="1"/>
    <xf numFmtId="0" fontId="2" fillId="2" borderId="3" xfId="0" applyFont="1" applyFill="1" applyBorder="1" applyAlignment="1">
      <alignment horizontal="center" vertical="center"/>
    </xf>
    <xf numFmtId="0" fontId="2" fillId="0" borderId="3" xfId="0" applyFont="1" applyBorder="1" applyAlignment="1">
      <alignment horizontal="center"/>
    </xf>
    <xf numFmtId="0" fontId="7" fillId="2" borderId="1" xfId="0" applyFont="1" applyFill="1" applyBorder="1"/>
    <xf numFmtId="0" fontId="4" fillId="2" borderId="1" xfId="0" applyFont="1" applyFill="1" applyBorder="1"/>
    <xf numFmtId="0" fontId="2" fillId="0" borderId="1" xfId="0" applyFont="1" applyBorder="1"/>
    <xf numFmtId="0" fontId="21" fillId="0" borderId="0" xfId="2" applyFont="1" applyAlignment="1" applyProtection="1">
      <alignment horizontal="center" wrapText="1"/>
    </xf>
    <xf numFmtId="0" fontId="7" fillId="0" borderId="0" xfId="13" applyAlignment="1">
      <alignment vertical="center"/>
    </xf>
    <xf numFmtId="0" fontId="28" fillId="0" borderId="5" xfId="13" applyFont="1" applyBorder="1" applyAlignment="1">
      <alignment vertical="center" wrapText="1"/>
    </xf>
    <xf numFmtId="0" fontId="28" fillId="0" borderId="6" xfId="13" applyFont="1" applyBorder="1" applyAlignment="1">
      <alignment horizontal="center" vertical="center" wrapText="1"/>
    </xf>
    <xf numFmtId="0" fontId="29" fillId="0" borderId="7" xfId="13" applyFont="1" applyBorder="1" applyAlignment="1">
      <alignment horizontal="center" vertical="center" wrapText="1"/>
    </xf>
    <xf numFmtId="0" fontId="29" fillId="0" borderId="8" xfId="13" applyFont="1" applyBorder="1" applyAlignment="1">
      <alignment horizontal="center" vertical="center" wrapText="1"/>
    </xf>
    <xf numFmtId="0" fontId="28" fillId="0" borderId="0" xfId="13" applyFont="1" applyBorder="1" applyAlignment="1">
      <alignment horizontal="center" vertical="center" wrapText="1"/>
    </xf>
    <xf numFmtId="0" fontId="29" fillId="0" borderId="0" xfId="13" applyFont="1" applyBorder="1" applyAlignment="1">
      <alignment horizontal="center" vertical="center" wrapText="1"/>
    </xf>
    <xf numFmtId="0" fontId="30" fillId="0" borderId="0" xfId="13" applyFont="1" applyAlignment="1">
      <alignment vertical="center"/>
    </xf>
    <xf numFmtId="0" fontId="7" fillId="0" borderId="0" xfId="0" applyFont="1"/>
    <xf numFmtId="0" fontId="4" fillId="0" borderId="0" xfId="0" applyFont="1"/>
    <xf numFmtId="0" fontId="7" fillId="0" borderId="0" xfId="0" applyFont="1" applyAlignment="1">
      <alignment vertical="center"/>
    </xf>
    <xf numFmtId="0" fontId="31" fillId="0" borderId="0" xfId="0" applyFont="1" applyAlignment="1">
      <alignment vertical="center"/>
    </xf>
    <xf numFmtId="0" fontId="4" fillId="2" borderId="1" xfId="0" applyFont="1" applyFill="1" applyBorder="1" applyAlignment="1">
      <alignment horizontal="center" vertical="center"/>
    </xf>
    <xf numFmtId="0" fontId="2" fillId="2" borderId="1" xfId="0" applyFont="1" applyFill="1" applyBorder="1" applyAlignment="1">
      <alignment horizontal="center"/>
    </xf>
    <xf numFmtId="0" fontId="32" fillId="0" borderId="0" xfId="0" applyFont="1"/>
    <xf numFmtId="2" fontId="32" fillId="0" borderId="0" xfId="0" applyNumberFormat="1" applyFont="1"/>
    <xf numFmtId="0" fontId="33" fillId="0" borderId="0" xfId="0" applyFont="1"/>
    <xf numFmtId="0" fontId="34" fillId="0" borderId="0" xfId="0" applyFont="1"/>
    <xf numFmtId="0" fontId="0" fillId="0" borderId="0" xfId="0" applyFill="1"/>
    <xf numFmtId="0" fontId="35" fillId="0" borderId="0" xfId="0" applyFont="1"/>
    <xf numFmtId="0" fontId="36" fillId="0" borderId="0" xfId="0" applyFont="1"/>
    <xf numFmtId="0" fontId="37" fillId="0" borderId="0" xfId="0" applyFont="1" applyAlignment="1">
      <alignment horizontal="right"/>
    </xf>
    <xf numFmtId="0" fontId="32" fillId="0" borderId="0" xfId="0" applyFont="1" applyAlignment="1">
      <alignment horizontal="right"/>
    </xf>
    <xf numFmtId="176" fontId="7" fillId="0" borderId="0" xfId="0" applyNumberFormat="1" applyFont="1" applyAlignment="1">
      <alignment horizontal="right"/>
    </xf>
    <xf numFmtId="0" fontId="38" fillId="0" borderId="0" xfId="0" applyFont="1"/>
    <xf numFmtId="0" fontId="37" fillId="0" borderId="0" xfId="0" applyFont="1"/>
    <xf numFmtId="0" fontId="12" fillId="0" borderId="0" xfId="0" applyFont="1"/>
    <xf numFmtId="0" fontId="3" fillId="3" borderId="0" xfId="0" applyFont="1" applyFill="1"/>
    <xf numFmtId="0" fontId="37" fillId="3" borderId="0" xfId="0" applyFont="1" applyFill="1"/>
    <xf numFmtId="0" fontId="12" fillId="3" borderId="0" xfId="0" applyFont="1" applyFill="1"/>
    <xf numFmtId="0" fontId="9" fillId="3" borderId="0" xfId="0" applyFont="1" applyFill="1"/>
    <xf numFmtId="0" fontId="39" fillId="0" borderId="0" xfId="0" applyFont="1"/>
    <xf numFmtId="0" fontId="40" fillId="0" borderId="0" xfId="0" applyFont="1" applyAlignment="1">
      <alignment horizontal="right"/>
    </xf>
    <xf numFmtId="0" fontId="41" fillId="0" borderId="0" xfId="0" applyFont="1"/>
    <xf numFmtId="0" fontId="13" fillId="0" borderId="0" xfId="0" applyFont="1" applyAlignment="1">
      <alignment horizontal="right"/>
    </xf>
    <xf numFmtId="0" fontId="42" fillId="0" borderId="0" xfId="0" applyFont="1"/>
    <xf numFmtId="1" fontId="42" fillId="0" borderId="0" xfId="0" applyNumberFormat="1" applyFont="1"/>
    <xf numFmtId="0" fontId="43" fillId="0" borderId="0" xfId="0" applyFont="1"/>
    <xf numFmtId="0" fontId="44" fillId="0" borderId="0" xfId="0" applyFont="1"/>
    <xf numFmtId="0" fontId="45" fillId="3" borderId="0" xfId="0" applyFont="1" applyFill="1"/>
    <xf numFmtId="2" fontId="7" fillId="4" borderId="1" xfId="0" applyNumberFormat="1" applyFont="1" applyFill="1" applyBorder="1" applyAlignment="1">
      <alignment horizontal="center"/>
    </xf>
    <xf numFmtId="0" fontId="7" fillId="4" borderId="1" xfId="0" applyFont="1" applyFill="1" applyBorder="1" applyAlignment="1">
      <alignment horizontal="center"/>
    </xf>
    <xf numFmtId="0" fontId="10" fillId="0" borderId="1" xfId="0" applyFont="1" applyBorder="1"/>
    <xf numFmtId="0" fontId="0" fillId="0" borderId="1" xfId="0" applyBorder="1" applyAlignment="1">
      <alignment horizontal="left"/>
    </xf>
    <xf numFmtId="0" fontId="10" fillId="2" borderId="1" xfId="0" applyFont="1" applyFill="1" applyBorder="1"/>
    <xf numFmtId="49" fontId="0" fillId="0" borderId="0" xfId="0" applyNumberFormat="1" applyFont="1" applyAlignment="1">
      <alignment vertical="center"/>
    </xf>
    <xf numFmtId="0" fontId="28" fillId="0" borderId="1" xfId="13" applyFont="1" applyBorder="1" applyAlignment="1">
      <alignment vertical="center"/>
    </xf>
    <xf numFmtId="0" fontId="28" fillId="0" borderId="1" xfId="13" applyFont="1" applyBorder="1" applyAlignment="1">
      <alignment horizontal="center" vertical="center"/>
    </xf>
    <xf numFmtId="0" fontId="0" fillId="0" borderId="0" xfId="0" applyFont="1"/>
    <xf numFmtId="0" fontId="4" fillId="0" borderId="0" xfId="0" applyFont="1" applyFill="1" applyAlignment="1">
      <alignment horizontal="left"/>
    </xf>
    <xf numFmtId="0" fontId="48" fillId="0" borderId="0" xfId="14"/>
    <xf numFmtId="0" fontId="17" fillId="0" borderId="0" xfId="14" applyFont="1" applyAlignment="1">
      <alignment horizontal="right"/>
    </xf>
    <xf numFmtId="0" fontId="18" fillId="0" borderId="0" xfId="14" applyFont="1" applyAlignment="1">
      <alignment horizontal="right" wrapText="1"/>
    </xf>
    <xf numFmtId="49" fontId="19" fillId="0" borderId="4" xfId="14" applyNumberFormat="1" applyFont="1" applyBorder="1" applyAlignment="1">
      <alignment horizontal="right"/>
    </xf>
    <xf numFmtId="177" fontId="48" fillId="0" borderId="0" xfId="14" applyNumberFormat="1"/>
    <xf numFmtId="0" fontId="24" fillId="0" borderId="0" xfId="14" applyFont="1" applyAlignment="1">
      <alignment horizontal="center"/>
    </xf>
    <xf numFmtId="0" fontId="26" fillId="0" borderId="0" xfId="2" applyFont="1" applyAlignment="1" applyProtection="1">
      <alignment horizontal="left" wrapText="1"/>
    </xf>
    <xf numFmtId="0" fontId="25" fillId="0" borderId="0" xfId="14" applyFont="1" applyAlignment="1">
      <alignment horizontal="justify"/>
    </xf>
    <xf numFmtId="0" fontId="26" fillId="0" borderId="0" xfId="14" applyFont="1" applyAlignment="1">
      <alignment horizontal="justify"/>
    </xf>
    <xf numFmtId="0" fontId="25" fillId="0" borderId="0" xfId="14" applyFont="1" applyAlignment="1">
      <alignment horizontal="center" wrapText="1"/>
    </xf>
    <xf numFmtId="0" fontId="25" fillId="0" borderId="0" xfId="14" applyFont="1" applyAlignment="1">
      <alignment horizontal="center"/>
    </xf>
    <xf numFmtId="0" fontId="26" fillId="0" borderId="0" xfId="14" applyFont="1" applyAlignment="1">
      <alignment horizontal="center"/>
    </xf>
    <xf numFmtId="0" fontId="27" fillId="0" borderId="0" xfId="14" applyFont="1"/>
    <xf numFmtId="0" fontId="27" fillId="0" borderId="0" xfId="14" applyFont="1" applyAlignment="1">
      <alignment horizontal="left"/>
    </xf>
    <xf numFmtId="0" fontId="48" fillId="0" borderId="0" xfId="14" applyAlignment="1">
      <alignment horizontal="right"/>
    </xf>
    <xf numFmtId="0" fontId="19" fillId="0" borderId="0" xfId="1" applyFont="1" applyAlignment="1">
      <alignment horizontal="right" vertical="center"/>
    </xf>
    <xf numFmtId="178" fontId="28" fillId="0" borderId="5" xfId="13" applyNumberFormat="1" applyFont="1" applyBorder="1" applyAlignment="1">
      <alignment horizontal="center" vertical="center" wrapText="1"/>
    </xf>
    <xf numFmtId="17" fontId="28" fillId="0" borderId="1" xfId="13" quotePrefix="1" applyNumberFormat="1" applyFont="1" applyBorder="1" applyAlignment="1">
      <alignment horizontal="center" vertical="center"/>
    </xf>
    <xf numFmtId="49" fontId="28" fillId="0" borderId="1" xfId="13" quotePrefix="1" applyNumberFormat="1" applyFont="1" applyBorder="1" applyAlignment="1">
      <alignment horizontal="center" vertical="center"/>
    </xf>
    <xf numFmtId="0" fontId="0" fillId="0" borderId="0" xfId="0" applyNumberFormat="1" applyFont="1" applyAlignment="1">
      <alignment horizontal="left" vertical="center"/>
    </xf>
    <xf numFmtId="0" fontId="7" fillId="0" borderId="0" xfId="0" quotePrefix="1" applyFont="1" applyAlignment="1">
      <alignment horizontal="right" vertical="top"/>
    </xf>
    <xf numFmtId="0" fontId="7" fillId="0" borderId="0" xfId="0" applyFont="1" applyAlignment="1">
      <alignment vertical="top"/>
    </xf>
    <xf numFmtId="0" fontId="0" fillId="0" borderId="0" xfId="0" quotePrefix="1" applyAlignment="1">
      <alignment horizontal="right" vertical="top"/>
    </xf>
    <xf numFmtId="0" fontId="0" fillId="0" borderId="0" xfId="0" applyAlignment="1">
      <alignment vertical="top"/>
    </xf>
    <xf numFmtId="0" fontId="0" fillId="0" borderId="0" xfId="0" applyFont="1" applyAlignment="1">
      <alignment horizontal="right"/>
    </xf>
    <xf numFmtId="0" fontId="7" fillId="0" borderId="0" xfId="0" applyFont="1" applyAlignment="1">
      <alignment wrapText="1"/>
    </xf>
    <xf numFmtId="0" fontId="2" fillId="2" borderId="2"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xf>
    <xf numFmtId="0" fontId="4" fillId="2" borderId="1" xfId="0" applyFont="1" applyFill="1" applyBorder="1" applyAlignment="1">
      <alignment horizontal="center" vertical="center"/>
    </xf>
    <xf numFmtId="0" fontId="0" fillId="0" borderId="1" xfId="0" applyBorder="1" applyAlignment="1">
      <alignment horizontal="center" vertical="center"/>
    </xf>
  </cellXfs>
  <cellStyles count="90">
    <cellStyle name="Good 2" xfId="15"/>
    <cellStyle name="Normal 10" xfId="3"/>
    <cellStyle name="Normal 11" xfId="4"/>
    <cellStyle name="Normal 12" xfId="5"/>
    <cellStyle name="Normal 12 10" xfId="16"/>
    <cellStyle name="Normal 121" xfId="17"/>
    <cellStyle name="Normal 13" xfId="13"/>
    <cellStyle name="Normal 14" xfId="14"/>
    <cellStyle name="Normal 145" xfId="18"/>
    <cellStyle name="Normal 146" xfId="19"/>
    <cellStyle name="Normal 147" xfId="20"/>
    <cellStyle name="Normal 148" xfId="21"/>
    <cellStyle name="Normal 150" xfId="22"/>
    <cellStyle name="Normal 153" xfId="23"/>
    <cellStyle name="Normal 158" xfId="24"/>
    <cellStyle name="Normal 159" xfId="25"/>
    <cellStyle name="Normal 164" xfId="26"/>
    <cellStyle name="Normal 165" xfId="27"/>
    <cellStyle name="Normal 166" xfId="28"/>
    <cellStyle name="Normal 167" xfId="29"/>
    <cellStyle name="Normal 168" xfId="30"/>
    <cellStyle name="Normal 169" xfId="31"/>
    <cellStyle name="Normal 170" xfId="32"/>
    <cellStyle name="Normal 171" xfId="33"/>
    <cellStyle name="Normal 172" xfId="34"/>
    <cellStyle name="Normal 173" xfId="35"/>
    <cellStyle name="Normal 174" xfId="36"/>
    <cellStyle name="Normal 175" xfId="37"/>
    <cellStyle name="Normal 176" xfId="38"/>
    <cellStyle name="Normal 177" xfId="39"/>
    <cellStyle name="Normal 178" xfId="40"/>
    <cellStyle name="Normal 179" xfId="41"/>
    <cellStyle name="Normal 180" xfId="42"/>
    <cellStyle name="Normal 181" xfId="43"/>
    <cellStyle name="Normal 182" xfId="44"/>
    <cellStyle name="Normal 183" xfId="45"/>
    <cellStyle name="Normal 184" xfId="46"/>
    <cellStyle name="Normal 185" xfId="47"/>
    <cellStyle name="Normal 186" xfId="48"/>
    <cellStyle name="Normal 187" xfId="49"/>
    <cellStyle name="Normal 188" xfId="50"/>
    <cellStyle name="Normal 189" xfId="51"/>
    <cellStyle name="Normal 190" xfId="52"/>
    <cellStyle name="Normal 191" xfId="53"/>
    <cellStyle name="Normal 192" xfId="54"/>
    <cellStyle name="Normal 193" xfId="55"/>
    <cellStyle name="Normal 194" xfId="56"/>
    <cellStyle name="Normal 195" xfId="57"/>
    <cellStyle name="Normal 196" xfId="58"/>
    <cellStyle name="Normal 197" xfId="59"/>
    <cellStyle name="Normal 198" xfId="60"/>
    <cellStyle name="Normal 199" xfId="61"/>
    <cellStyle name="Normal 2" xfId="1"/>
    <cellStyle name="Normal 2 2 2" xfId="62"/>
    <cellStyle name="Normal 2 3" xfId="63"/>
    <cellStyle name="Normal 200" xfId="64"/>
    <cellStyle name="Normal 201" xfId="65"/>
    <cellStyle name="Normal 202" xfId="66"/>
    <cellStyle name="Normal 203" xfId="67"/>
    <cellStyle name="Normal 204" xfId="68"/>
    <cellStyle name="Normal 205" xfId="69"/>
    <cellStyle name="Normal 206" xfId="70"/>
    <cellStyle name="Normal 207" xfId="71"/>
    <cellStyle name="Normal 208" xfId="72"/>
    <cellStyle name="Normal 209" xfId="73"/>
    <cellStyle name="Normal 210" xfId="74"/>
    <cellStyle name="Normal 211" xfId="75"/>
    <cellStyle name="Normal 212" xfId="76"/>
    <cellStyle name="Normal 3" xfId="6"/>
    <cellStyle name="Normal 4" xfId="7"/>
    <cellStyle name="Normal 5" xfId="8"/>
    <cellStyle name="Normal 51" xfId="77"/>
    <cellStyle name="Normal 6" xfId="9"/>
    <cellStyle name="Normal 7" xfId="10"/>
    <cellStyle name="Normal 7 16" xfId="78"/>
    <cellStyle name="Normal 7 18" xfId="79"/>
    <cellStyle name="Normal 7 2" xfId="80"/>
    <cellStyle name="Normal 7 27" xfId="81"/>
    <cellStyle name="Normal 7 29" xfId="82"/>
    <cellStyle name="Normal 7 3" xfId="83"/>
    <cellStyle name="Normal 7 4" xfId="84"/>
    <cellStyle name="Normal 7 8" xfId="85"/>
    <cellStyle name="Normal 7 8 2 2 2 3" xfId="86"/>
    <cellStyle name="Normal 7 8 6" xfId="87"/>
    <cellStyle name="Normal 8" xfId="11"/>
    <cellStyle name="Normal 9" xfId="12"/>
    <cellStyle name="Normal 95" xfId="88"/>
    <cellStyle name="Normal 96" xfId="89"/>
    <cellStyle name="常规" xfId="0" builtinId="0"/>
    <cellStyle name="超链接" xfId="2" builtinId="8"/>
  </cellStyles>
  <dxfs count="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0</xdr:col>
      <xdr:colOff>2928939</xdr:colOff>
      <xdr:row>0</xdr:row>
      <xdr:rowOff>672007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1" y="0"/>
          <a:ext cx="2928938" cy="672007"/>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DocCtrlAgent@qualcomm.com" TargetMode="External"/><Relationship Id="rId1" Type="http://schemas.openxmlformats.org/officeDocument/2006/relationships/hyperlink" Target="https://support.cdmatech.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tQTI_Title_Page"/>
  <dimension ref="A1:D1003"/>
  <sheetViews>
    <sheetView showGridLines="0" view="pageBreakPreview" topLeftCell="A7" zoomScaleSheetLayoutView="100" workbookViewId="0"/>
  </sheetViews>
  <sheetFormatPr defaultColWidth="9.140625" defaultRowHeight="12.75"/>
  <cols>
    <col min="1" max="1" width="91.28515625" style="83" customWidth="1"/>
    <col min="2" max="16384" width="9.140625" style="83"/>
  </cols>
  <sheetData>
    <row r="1" spans="1:4" ht="53.25" customHeight="1"/>
    <row r="2" spans="1:4" ht="84" customHeight="1">
      <c r="A2" s="84" t="s">
        <v>116</v>
      </c>
    </row>
    <row r="3" spans="1:4" ht="22.5" customHeight="1">
      <c r="A3" s="85" t="s">
        <v>117</v>
      </c>
      <c r="D3" s="97"/>
    </row>
    <row r="4" spans="1:4" ht="20.100000000000001" customHeight="1">
      <c r="A4" s="98" t="s">
        <v>173</v>
      </c>
    </row>
    <row r="5" spans="1:4" ht="24" customHeight="1">
      <c r="A5" s="86" t="s">
        <v>170</v>
      </c>
      <c r="D5" s="87"/>
    </row>
    <row r="6" spans="1:4" ht="45.75" customHeight="1">
      <c r="A6" s="32" t="s">
        <v>102</v>
      </c>
    </row>
    <row r="7" spans="1:4" ht="165" customHeight="1">
      <c r="A7" s="88" t="s">
        <v>118</v>
      </c>
    </row>
    <row r="8" spans="1:4" ht="33.75" customHeight="1">
      <c r="A8" s="89" t="s">
        <v>162</v>
      </c>
    </row>
    <row r="9" spans="1:4" ht="38.25" customHeight="1">
      <c r="A9" s="90" t="s">
        <v>163</v>
      </c>
    </row>
    <row r="10" spans="1:4" ht="31.5" customHeight="1">
      <c r="A10" s="91" t="s">
        <v>164</v>
      </c>
    </row>
    <row r="11" spans="1:4" ht="47.25" customHeight="1">
      <c r="A11" s="91" t="s">
        <v>103</v>
      </c>
    </row>
    <row r="12" spans="1:4" ht="36" customHeight="1">
      <c r="A12" s="91" t="s">
        <v>165</v>
      </c>
    </row>
    <row r="13" spans="1:4" ht="15" customHeight="1">
      <c r="A13" s="91"/>
    </row>
    <row r="14" spans="1:4" ht="58.5" customHeight="1">
      <c r="A14" s="92" t="s">
        <v>104</v>
      </c>
    </row>
    <row r="15" spans="1:4" ht="27.75" customHeight="1">
      <c r="A15" s="92" t="s">
        <v>183</v>
      </c>
    </row>
    <row r="16" spans="1:4" ht="12.6" customHeight="1">
      <c r="A16" s="93"/>
    </row>
    <row r="17" spans="1:1">
      <c r="A17" s="94"/>
    </row>
    <row r="18" spans="1:1">
      <c r="A18" s="94"/>
    </row>
    <row r="19" spans="1:1">
      <c r="A19" s="94"/>
    </row>
    <row r="1001" spans="1:1">
      <c r="A1001" s="95" t="s">
        <v>105</v>
      </c>
    </row>
    <row r="1002" spans="1:1">
      <c r="A1002" s="95" t="s">
        <v>106</v>
      </c>
    </row>
    <row r="1003" spans="1:1">
      <c r="A1003" s="96" t="s">
        <v>105</v>
      </c>
    </row>
  </sheetData>
  <phoneticPr fontId="50" type="noConversion"/>
  <hyperlinks>
    <hyperlink ref="A6" r:id="rId1" display="https://support.cdmatech.com/"/>
    <hyperlink ref="A8" r:id="rId2" display="NO PUBLIC DISCLOSURE PERMITTED. Please report postings of this document on public servers or websites to: DocCtrlAgent@qualcomm.com "/>
  </hyperlinks>
  <printOptions horizontalCentered="1" verticalCentered="1"/>
  <pageMargins left="0.25" right="0.25" top="0.5" bottom="0.65" header="0.3" footer="0.3"/>
  <pageSetup scale="98" orientation="portrait" r:id="rId3"/>
  <headerFooter scaleWithDoc="0"/>
  <drawing r:id="rId4"/>
</worksheet>
</file>

<file path=xl/worksheets/sheet2.xml><?xml version="1.0" encoding="utf-8"?>
<worksheet xmlns="http://schemas.openxmlformats.org/spreadsheetml/2006/main" xmlns:r="http://schemas.openxmlformats.org/officeDocument/2006/relationships">
  <sheetPr codeName="Sheet4"/>
  <dimension ref="A1:E7"/>
  <sheetViews>
    <sheetView showGridLines="0" zoomScaleSheetLayoutView="85" workbookViewId="0">
      <selection activeCell="A7" sqref="A7"/>
    </sheetView>
  </sheetViews>
  <sheetFormatPr defaultColWidth="9.140625" defaultRowHeight="15.95" customHeight="1"/>
  <cols>
    <col min="1" max="2" width="3.28515625" style="33" customWidth="1"/>
    <col min="3" max="3" width="9.140625" style="33"/>
    <col min="4" max="4" width="16" style="33" customWidth="1"/>
    <col min="5" max="5" width="67.28515625" style="33" customWidth="1"/>
    <col min="6" max="16384" width="9.140625" style="33"/>
  </cols>
  <sheetData>
    <row r="1" spans="1:5" ht="24.75" customHeight="1">
      <c r="A1" s="40" t="s">
        <v>112</v>
      </c>
      <c r="B1" s="40"/>
    </row>
    <row r="2" spans="1:5" ht="15.95" customHeight="1">
      <c r="A2" s="39"/>
      <c r="B2" s="39"/>
      <c r="C2" s="39"/>
      <c r="D2" s="39"/>
    </row>
    <row r="3" spans="1:5" ht="20.100000000000001" customHeight="1" thickBot="1">
      <c r="A3" s="38"/>
      <c r="B3" s="38"/>
      <c r="C3" s="37" t="s">
        <v>111</v>
      </c>
      <c r="D3" s="36" t="s">
        <v>110</v>
      </c>
      <c r="E3" s="36" t="s">
        <v>109</v>
      </c>
    </row>
    <row r="4" spans="1:5" ht="15.95" customHeight="1">
      <c r="C4" s="35" t="s">
        <v>108</v>
      </c>
      <c r="D4" s="99">
        <v>41456</v>
      </c>
      <c r="E4" s="34" t="s">
        <v>107</v>
      </c>
    </row>
    <row r="5" spans="1:5" ht="15.95" customHeight="1">
      <c r="C5" s="80" t="s">
        <v>142</v>
      </c>
      <c r="D5" s="100" t="s">
        <v>143</v>
      </c>
      <c r="E5" s="79" t="s">
        <v>144</v>
      </c>
    </row>
    <row r="6" spans="1:5" ht="15.95" customHeight="1">
      <c r="C6" s="80" t="s">
        <v>146</v>
      </c>
      <c r="D6" s="101" t="s">
        <v>147</v>
      </c>
      <c r="E6" s="79" t="s">
        <v>168</v>
      </c>
    </row>
    <row r="7" spans="1:5" ht="15.95" customHeight="1">
      <c r="C7" s="80" t="s">
        <v>169</v>
      </c>
      <c r="D7" s="101" t="s">
        <v>171</v>
      </c>
      <c r="E7" s="79" t="s">
        <v>172</v>
      </c>
    </row>
  </sheetData>
  <phoneticPr fontId="50" type="noConversion"/>
  <pageMargins left="0.25" right="0.25" top="0.5" bottom="0.65" header="0.3" footer="0.3"/>
  <pageSetup firstPageNumber="2" orientation="portrait" r:id="rId1"/>
  <headerFooter scaleWithDoc="0">
    <oddFooter>&amp;L&amp;8 80-NH713-1 Rev. D&amp;C&amp;8 &amp;P&amp;"Arial,Bold" MAY CONTAIN U.S. AND INTERNATIONAL EXPORT CONTROLLED INFORMATION&amp;R&amp;8 Confidential and Proprietary - Qualcomm Technologies, Inc.</oddFooter>
  </headerFooter>
</worksheet>
</file>

<file path=xl/worksheets/sheet3.xml><?xml version="1.0" encoding="utf-8"?>
<worksheet xmlns="http://schemas.openxmlformats.org/spreadsheetml/2006/main" xmlns:r="http://schemas.openxmlformats.org/officeDocument/2006/relationships">
  <sheetPr codeName="Sheet5">
    <pageSetUpPr fitToPage="1"/>
  </sheetPr>
  <dimension ref="A1:K24"/>
  <sheetViews>
    <sheetView view="pageBreakPreview" zoomScale="110" zoomScaleNormal="130" zoomScaleSheetLayoutView="110" workbookViewId="0">
      <selection activeCell="G17" sqref="G17"/>
    </sheetView>
  </sheetViews>
  <sheetFormatPr defaultRowHeight="12.75"/>
  <cols>
    <col min="1" max="1" width="4.140625" customWidth="1"/>
    <col min="16" max="16" width="11.7109375" customWidth="1"/>
  </cols>
  <sheetData>
    <row r="1" spans="1:11" ht="36" customHeight="1">
      <c r="A1" s="44" t="s">
        <v>113</v>
      </c>
      <c r="B1" s="43"/>
      <c r="C1" s="41"/>
      <c r="D1" s="41"/>
      <c r="E1" s="41"/>
      <c r="F1" s="41"/>
      <c r="G1" s="41"/>
      <c r="H1" s="41"/>
      <c r="I1" s="41"/>
      <c r="J1" s="41"/>
      <c r="K1" s="41"/>
    </row>
    <row r="2" spans="1:11" s="14" customFormat="1" ht="15" customHeight="1">
      <c r="A2" s="78" t="s">
        <v>138</v>
      </c>
      <c r="B2" s="43"/>
      <c r="C2" s="41"/>
      <c r="D2" s="41"/>
      <c r="E2" s="41"/>
      <c r="F2" s="41"/>
      <c r="G2" s="41"/>
      <c r="H2" s="41"/>
      <c r="I2" s="41"/>
      <c r="J2" s="41"/>
      <c r="K2" s="41"/>
    </row>
    <row r="3" spans="1:11" ht="18.75" customHeight="1">
      <c r="B3" s="78">
        <v>8974</v>
      </c>
      <c r="C3" s="41"/>
      <c r="D3" s="41"/>
      <c r="E3" s="41"/>
      <c r="F3" s="41"/>
      <c r="G3" s="41"/>
      <c r="H3" s="41"/>
      <c r="I3" s="41"/>
      <c r="J3" s="41"/>
      <c r="K3" s="41"/>
    </row>
    <row r="4" spans="1:11" ht="18.75" customHeight="1">
      <c r="B4" s="78">
        <v>8084</v>
      </c>
      <c r="C4" s="41"/>
      <c r="D4" s="41"/>
      <c r="E4" s="41"/>
      <c r="F4" s="41"/>
      <c r="G4" s="41"/>
      <c r="H4" s="41"/>
      <c r="I4" s="41"/>
      <c r="J4" s="41"/>
      <c r="K4" s="41"/>
    </row>
    <row r="5" spans="1:11" ht="18.75" customHeight="1">
      <c r="B5" s="78" t="s">
        <v>139</v>
      </c>
      <c r="C5" s="41"/>
      <c r="D5" s="41"/>
      <c r="E5" s="41"/>
      <c r="F5" s="41"/>
      <c r="G5" s="41"/>
      <c r="H5" s="41"/>
      <c r="I5" s="41"/>
      <c r="J5" s="41"/>
      <c r="K5" s="41"/>
    </row>
    <row r="6" spans="1:11" ht="18.75" customHeight="1">
      <c r="B6" s="78">
        <v>8926</v>
      </c>
      <c r="C6" s="41"/>
      <c r="D6" s="41"/>
      <c r="E6" s="41"/>
      <c r="F6" s="41"/>
      <c r="G6" s="41"/>
      <c r="H6" s="41"/>
      <c r="I6" s="41"/>
      <c r="J6" s="41"/>
      <c r="K6" s="41"/>
    </row>
    <row r="7" spans="1:11" ht="18.75" customHeight="1">
      <c r="B7" s="78" t="s">
        <v>140</v>
      </c>
      <c r="C7" s="41"/>
      <c r="D7" s="41"/>
      <c r="E7" s="41"/>
      <c r="F7" s="41"/>
      <c r="G7" s="41"/>
      <c r="H7" s="41"/>
      <c r="I7" s="41"/>
      <c r="J7" s="41"/>
      <c r="K7" s="41"/>
    </row>
    <row r="8" spans="1:11" s="14" customFormat="1" ht="18.75" customHeight="1">
      <c r="B8" s="78" t="s">
        <v>141</v>
      </c>
      <c r="C8" s="41"/>
      <c r="D8" s="41"/>
      <c r="E8" s="41"/>
      <c r="F8" s="41"/>
      <c r="G8" s="41"/>
      <c r="H8" s="41"/>
      <c r="I8" s="41"/>
      <c r="J8" s="41"/>
      <c r="K8" s="41"/>
    </row>
    <row r="9" spans="1:11" s="14" customFormat="1" ht="18.75" customHeight="1">
      <c r="B9" s="102">
        <v>8994</v>
      </c>
      <c r="C9" s="41"/>
      <c r="D9" s="41"/>
      <c r="E9" s="41"/>
      <c r="F9" s="41"/>
      <c r="G9" s="41"/>
      <c r="H9" s="41"/>
      <c r="I9" s="41"/>
      <c r="J9" s="41"/>
      <c r="K9" s="41"/>
    </row>
    <row r="10" spans="1:11" ht="18.75" customHeight="1">
      <c r="B10" s="102">
        <v>8992</v>
      </c>
      <c r="C10" s="41"/>
      <c r="D10" s="41"/>
      <c r="E10" s="41"/>
      <c r="F10" s="41"/>
      <c r="G10" s="41"/>
      <c r="H10" s="41"/>
      <c r="I10" s="41"/>
      <c r="J10" s="41"/>
      <c r="K10" s="41"/>
    </row>
    <row r="11" spans="1:11" ht="18.75" customHeight="1">
      <c r="A11" s="42" t="s">
        <v>114</v>
      </c>
      <c r="B11" s="41"/>
      <c r="C11" s="41"/>
      <c r="D11" s="41"/>
      <c r="E11" s="41"/>
      <c r="F11" s="41"/>
      <c r="G11" s="41"/>
      <c r="H11" s="41"/>
      <c r="I11" s="41"/>
      <c r="J11" s="41"/>
      <c r="K11" s="41"/>
    </row>
    <row r="12" spans="1:11">
      <c r="A12" s="103" t="s">
        <v>174</v>
      </c>
      <c r="B12" s="104" t="s">
        <v>179</v>
      </c>
      <c r="C12" s="41"/>
      <c r="D12" s="41"/>
      <c r="E12" s="41"/>
      <c r="F12" s="41"/>
      <c r="G12" s="41"/>
      <c r="H12" s="41"/>
      <c r="I12" s="41"/>
      <c r="J12" s="41"/>
      <c r="K12" s="41"/>
    </row>
    <row r="13" spans="1:11">
      <c r="A13" s="103" t="s">
        <v>175</v>
      </c>
      <c r="B13" s="104" t="s">
        <v>178</v>
      </c>
      <c r="C13" s="41"/>
      <c r="D13" s="41"/>
      <c r="E13" s="41"/>
      <c r="F13" s="41"/>
      <c r="G13" s="41"/>
      <c r="H13" s="41"/>
      <c r="I13" s="41"/>
      <c r="J13" s="41"/>
      <c r="K13" s="41"/>
    </row>
    <row r="14" spans="1:11">
      <c r="A14" s="103" t="s">
        <v>176</v>
      </c>
      <c r="B14" s="104" t="s">
        <v>177</v>
      </c>
      <c r="C14" s="41"/>
      <c r="D14" s="41"/>
      <c r="E14" s="41"/>
      <c r="F14" s="41"/>
      <c r="G14" s="41"/>
      <c r="H14" s="41"/>
      <c r="I14" s="41"/>
      <c r="J14" s="41"/>
      <c r="K14" s="41"/>
    </row>
    <row r="15" spans="1:11">
      <c r="B15" s="41"/>
      <c r="C15" s="41"/>
      <c r="D15" s="41"/>
      <c r="E15" s="41"/>
      <c r="F15" s="41"/>
      <c r="G15" s="41"/>
      <c r="H15" s="41"/>
      <c r="I15" s="41"/>
      <c r="J15" s="41"/>
      <c r="K15" s="41"/>
    </row>
    <row r="17" spans="1:2">
      <c r="A17" s="42" t="s">
        <v>115</v>
      </c>
    </row>
    <row r="18" spans="1:2">
      <c r="A18" s="105" t="s">
        <v>174</v>
      </c>
      <c r="B18" s="106" t="s">
        <v>181</v>
      </c>
    </row>
    <row r="19" spans="1:2">
      <c r="A19" s="103" t="s">
        <v>175</v>
      </c>
      <c r="B19" s="104" t="s">
        <v>180</v>
      </c>
    </row>
    <row r="20" spans="1:2">
      <c r="A20" s="103" t="s">
        <v>176</v>
      </c>
      <c r="B20" s="104" t="s">
        <v>182</v>
      </c>
    </row>
    <row r="21" spans="1:2">
      <c r="A21" s="41"/>
    </row>
    <row r="22" spans="1:2">
      <c r="A22" s="42" t="s">
        <v>145</v>
      </c>
      <c r="B22" s="3"/>
    </row>
    <row r="23" spans="1:2">
      <c r="A23" s="105" t="s">
        <v>174</v>
      </c>
      <c r="B23" s="81" t="s">
        <v>167</v>
      </c>
    </row>
    <row r="24" spans="1:2">
      <c r="B24" s="81"/>
    </row>
  </sheetData>
  <phoneticPr fontId="50" type="noConversion"/>
  <pageMargins left="0.25" right="0.25" top="0.5" bottom="0.65" header="0.3" footer="0.3"/>
  <pageSetup scale="72" fitToHeight="0" orientation="portrait"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worksheet>
</file>

<file path=xl/worksheets/sheet4.xml><?xml version="1.0" encoding="utf-8"?>
<worksheet xmlns="http://schemas.openxmlformats.org/spreadsheetml/2006/main" xmlns:r="http://schemas.openxmlformats.org/officeDocument/2006/relationships">
  <sheetPr codeName="Sheet1">
    <pageSetUpPr fitToPage="1"/>
  </sheetPr>
  <dimension ref="B1:N101"/>
  <sheetViews>
    <sheetView view="pageBreakPreview" topLeftCell="A16" zoomScaleSheetLayoutView="100" zoomScalePageLayoutView="80" workbookViewId="0">
      <selection activeCell="C16" sqref="C16"/>
    </sheetView>
  </sheetViews>
  <sheetFormatPr defaultColWidth="9.140625" defaultRowHeight="12.75"/>
  <cols>
    <col min="1" max="1" width="3.28515625" style="14" customWidth="1"/>
    <col min="2" max="2" width="40.28515625" style="14" customWidth="1"/>
    <col min="3" max="3" width="14.7109375" style="14" customWidth="1"/>
    <col min="4" max="4" width="15.7109375" style="14" customWidth="1"/>
    <col min="5" max="5" width="10.28515625" style="14" customWidth="1"/>
    <col min="6" max="6" width="15" style="14" customWidth="1"/>
    <col min="7" max="10" width="9.140625" style="14"/>
    <col min="11" max="11" width="19.140625" style="14" customWidth="1"/>
    <col min="12" max="12" width="10" style="14" bestFit="1" customWidth="1"/>
    <col min="13" max="13" width="11" style="14" customWidth="1"/>
    <col min="14" max="14" width="12.85546875" style="14" customWidth="1"/>
    <col min="15" max="16384" width="9.140625" style="14"/>
  </cols>
  <sheetData>
    <row r="1" spans="2:14" ht="18">
      <c r="B1" s="72" t="s">
        <v>132</v>
      </c>
      <c r="C1" s="72"/>
      <c r="K1" s="71"/>
      <c r="L1" s="71"/>
      <c r="M1" s="68"/>
      <c r="N1" s="68"/>
    </row>
    <row r="2" spans="2:14">
      <c r="B2" s="64" t="s">
        <v>131</v>
      </c>
      <c r="C2" s="65">
        <v>60</v>
      </c>
      <c r="D2" s="14" t="s">
        <v>68</v>
      </c>
    </row>
    <row r="3" spans="2:14">
      <c r="B3" s="64" t="s">
        <v>130</v>
      </c>
      <c r="C3" s="65">
        <v>3</v>
      </c>
      <c r="D3" s="14" t="s">
        <v>29</v>
      </c>
    </row>
    <row r="4" spans="2:14">
      <c r="B4" s="64" t="s">
        <v>129</v>
      </c>
      <c r="C4" s="65">
        <v>3</v>
      </c>
      <c r="D4" s="14" t="s">
        <v>28</v>
      </c>
    </row>
    <row r="5" spans="2:14" ht="15">
      <c r="C5" s="66"/>
    </row>
    <row r="6" spans="2:14">
      <c r="B6" s="14" t="s">
        <v>128</v>
      </c>
      <c r="C6" s="67">
        <v>720</v>
      </c>
      <c r="D6" s="1" t="s">
        <v>12</v>
      </c>
      <c r="E6" s="14" t="s">
        <v>13</v>
      </c>
      <c r="K6" s="70"/>
      <c r="L6" s="68"/>
      <c r="M6" s="68"/>
      <c r="N6" s="68"/>
    </row>
    <row r="7" spans="2:14">
      <c r="B7" s="14" t="s">
        <v>127</v>
      </c>
      <c r="C7" s="67">
        <v>1280</v>
      </c>
      <c r="D7" s="1" t="s">
        <v>14</v>
      </c>
      <c r="E7" s="14" t="s">
        <v>13</v>
      </c>
      <c r="K7" s="68"/>
      <c r="L7" s="68"/>
      <c r="M7" s="68"/>
      <c r="N7" s="68"/>
    </row>
    <row r="8" spans="2:14">
      <c r="B8" s="64" t="s">
        <v>126</v>
      </c>
      <c r="C8" s="65">
        <v>720</v>
      </c>
      <c r="D8" s="1" t="s">
        <v>12</v>
      </c>
      <c r="E8" s="14" t="s">
        <v>16</v>
      </c>
      <c r="K8" s="68"/>
      <c r="L8" s="68"/>
      <c r="M8" s="68"/>
      <c r="N8" s="68"/>
    </row>
    <row r="9" spans="2:14">
      <c r="B9" s="64" t="s">
        <v>125</v>
      </c>
      <c r="C9" s="65">
        <v>1280</v>
      </c>
      <c r="D9" s="1" t="s">
        <v>14</v>
      </c>
      <c r="E9" s="14" t="s">
        <v>16</v>
      </c>
      <c r="K9" s="68"/>
      <c r="L9" s="68"/>
      <c r="M9" s="68"/>
      <c r="N9" s="68"/>
    </row>
    <row r="10" spans="2:14" ht="15">
      <c r="C10" s="66"/>
      <c r="D10" s="1"/>
      <c r="K10" s="68"/>
      <c r="L10" s="68"/>
      <c r="M10" s="68"/>
      <c r="N10" s="68"/>
    </row>
    <row r="11" spans="2:14">
      <c r="B11" s="64" t="s">
        <v>124</v>
      </c>
      <c r="C11" s="65">
        <v>20</v>
      </c>
      <c r="D11" s="1" t="s">
        <v>62</v>
      </c>
      <c r="E11" s="59" t="s">
        <v>188</v>
      </c>
      <c r="K11" s="70"/>
      <c r="L11" s="68"/>
      <c r="M11" s="68"/>
      <c r="N11" s="68"/>
    </row>
    <row r="12" spans="2:14">
      <c r="B12" s="64" t="s">
        <v>123</v>
      </c>
      <c r="C12" s="65">
        <v>70</v>
      </c>
      <c r="D12" s="1" t="s">
        <v>62</v>
      </c>
      <c r="E12" s="59" t="s">
        <v>189</v>
      </c>
      <c r="K12" s="70"/>
      <c r="L12" s="68"/>
      <c r="M12" s="68"/>
      <c r="N12" s="68"/>
    </row>
    <row r="13" spans="2:14">
      <c r="B13" s="14" t="s">
        <v>122</v>
      </c>
      <c r="C13" s="107">
        <f>C11+C12</f>
        <v>90</v>
      </c>
      <c r="D13" s="1" t="s">
        <v>62</v>
      </c>
      <c r="K13" s="68"/>
      <c r="L13" s="69"/>
      <c r="M13" s="68"/>
      <c r="N13" s="68"/>
    </row>
    <row r="14" spans="2:14">
      <c r="B14" s="64" t="s">
        <v>121</v>
      </c>
      <c r="C14" s="65">
        <v>70</v>
      </c>
      <c r="D14" s="1" t="s">
        <v>62</v>
      </c>
      <c r="E14" s="59" t="s">
        <v>190</v>
      </c>
      <c r="K14" s="68"/>
      <c r="L14" s="69"/>
      <c r="M14" s="68"/>
      <c r="N14" s="68"/>
    </row>
    <row r="15" spans="2:14" ht="15">
      <c r="C15" s="66"/>
      <c r="D15" s="1"/>
    </row>
    <row r="16" spans="2:14">
      <c r="B16" s="64" t="s">
        <v>21</v>
      </c>
      <c r="C16" s="65">
        <v>4</v>
      </c>
      <c r="D16" s="1" t="s">
        <v>14</v>
      </c>
    </row>
    <row r="17" spans="2:7">
      <c r="B17" s="64" t="s">
        <v>22</v>
      </c>
      <c r="C17" s="65">
        <v>12</v>
      </c>
      <c r="D17" s="1" t="s">
        <v>14</v>
      </c>
    </row>
    <row r="18" spans="2:7">
      <c r="B18" s="14" t="s">
        <v>65</v>
      </c>
      <c r="C18" s="107">
        <f>C16+C17</f>
        <v>16</v>
      </c>
      <c r="D18" s="1" t="s">
        <v>14</v>
      </c>
    </row>
    <row r="19" spans="2:7">
      <c r="B19" s="64" t="s">
        <v>23</v>
      </c>
      <c r="C19" s="65">
        <v>15</v>
      </c>
      <c r="D19" s="1" t="s">
        <v>14</v>
      </c>
    </row>
    <row r="20" spans="2:7" ht="15">
      <c r="B20" s="58"/>
      <c r="C20" s="66"/>
      <c r="D20" s="1"/>
    </row>
    <row r="21" spans="2:7">
      <c r="B21" s="64" t="s">
        <v>186</v>
      </c>
      <c r="C21" s="65">
        <v>19.2</v>
      </c>
      <c r="D21" s="1" t="s">
        <v>187</v>
      </c>
    </row>
    <row r="22" spans="2:7">
      <c r="B22" s="64" t="s">
        <v>96</v>
      </c>
      <c r="C22" s="64">
        <v>1</v>
      </c>
      <c r="D22" s="1"/>
    </row>
    <row r="23" spans="2:7">
      <c r="B23" s="58"/>
      <c r="C23" s="58"/>
      <c r="D23" s="1"/>
    </row>
    <row r="24" spans="2:7">
      <c r="B24" s="58"/>
      <c r="C24" s="58"/>
      <c r="D24" s="1"/>
    </row>
    <row r="25" spans="2:7">
      <c r="B25" s="58"/>
      <c r="C25" s="58"/>
      <c r="D25" s="1"/>
    </row>
    <row r="26" spans="2:7" hidden="1">
      <c r="B26" s="63" t="s">
        <v>79</v>
      </c>
      <c r="C26" s="61"/>
      <c r="D26" s="60"/>
      <c r="E26" s="11"/>
      <c r="F26" s="11"/>
      <c r="G26" s="11"/>
    </row>
    <row r="27" spans="2:7" hidden="1">
      <c r="B27" s="62" t="s">
        <v>191</v>
      </c>
      <c r="C27" s="61"/>
      <c r="D27" s="60"/>
      <c r="E27" s="11"/>
      <c r="F27" s="11"/>
      <c r="G27" s="11"/>
    </row>
    <row r="28" spans="2:7">
      <c r="B28" s="58"/>
      <c r="C28" s="58"/>
      <c r="D28" s="1"/>
    </row>
    <row r="29" spans="2:7">
      <c r="B29" s="59"/>
      <c r="C29" s="58"/>
      <c r="D29" s="1"/>
    </row>
    <row r="31" spans="2:7" ht="18">
      <c r="B31" s="53" t="s">
        <v>52</v>
      </c>
      <c r="C31" s="57"/>
    </row>
    <row r="33" spans="2:4">
      <c r="B33" s="47" t="s">
        <v>17</v>
      </c>
      <c r="C33" s="47">
        <f>SUM(C6,C11,C12,C14)</f>
        <v>880</v>
      </c>
      <c r="D33" s="47" t="s">
        <v>18</v>
      </c>
    </row>
    <row r="34" spans="2:4">
      <c r="B34" s="47" t="s">
        <v>19</v>
      </c>
      <c r="C34" s="47">
        <f>SUM(C7,C16,C17,C19)</f>
        <v>1311</v>
      </c>
      <c r="D34" s="47" t="s">
        <v>20</v>
      </c>
    </row>
    <row r="35" spans="2:4">
      <c r="B35" s="47" t="s">
        <v>66</v>
      </c>
      <c r="C35" s="48">
        <f>(C33*C34)/(C6*C7)</f>
        <v>1.2518229166666666</v>
      </c>
    </row>
    <row r="37" spans="2:4">
      <c r="B37" s="2" t="s">
        <v>24</v>
      </c>
      <c r="C37" s="2" t="s">
        <v>25</v>
      </c>
    </row>
    <row r="38" spans="2:4">
      <c r="B38" s="3" t="s">
        <v>53</v>
      </c>
      <c r="C38" s="56" t="str">
        <f>DEC2HEX(C33*2^16 + C11)</f>
        <v>3700014</v>
      </c>
    </row>
    <row r="39" spans="2:4">
      <c r="B39" s="3" t="s">
        <v>54</v>
      </c>
      <c r="C39" s="7" t="str">
        <f>DEC2HEX(C34*C33)</f>
        <v>119A90</v>
      </c>
    </row>
    <row r="40" spans="2:4">
      <c r="B40" s="3" t="s">
        <v>55</v>
      </c>
      <c r="C40" s="7" t="str">
        <f>DEC2HEX(C16*C33)</f>
        <v>DC0</v>
      </c>
    </row>
    <row r="41" spans="2:4">
      <c r="B41" s="3" t="s">
        <v>56</v>
      </c>
      <c r="C41" s="7" t="str">
        <f>DEC2HEX((C33-C14-1)*2^16 + C13)</f>
        <v>329005A</v>
      </c>
    </row>
    <row r="42" spans="2:4">
      <c r="B42" s="3" t="s">
        <v>57</v>
      </c>
      <c r="C42" s="7" t="str">
        <f>DEC2HEX(C18*C33)</f>
        <v>3700</v>
      </c>
    </row>
    <row r="43" spans="2:4">
      <c r="B43" s="3" t="s">
        <v>58</v>
      </c>
      <c r="C43" s="7" t="str">
        <f>DEC2HEX((C34-C19)*C33 - 1)</f>
        <v>1166FF</v>
      </c>
    </row>
    <row r="44" spans="2:4">
      <c r="B44" s="3" t="s">
        <v>59</v>
      </c>
      <c r="C44" s="7">
        <f>IF(C6&gt;C8,DEC2HEX( 1*2^31 + (C13+INT((C6-C8)/2) + C8-1)*2^16 + C13+INT((C6-C8)/2)), 0)</f>
        <v>0</v>
      </c>
      <c r="D44" s="108" t="s">
        <v>26</v>
      </c>
    </row>
    <row r="45" spans="2:4">
      <c r="B45" s="3" t="s">
        <v>60</v>
      </c>
      <c r="C45" s="7">
        <f>IF(C7&gt;C9,DEC2HEX( 1*2^31 + (C18+INT((C7-C9)/2))*C33), 0)</f>
        <v>0</v>
      </c>
      <c r="D45" s="108"/>
    </row>
    <row r="46" spans="2:4">
      <c r="B46" s="3" t="s">
        <v>61</v>
      </c>
      <c r="C46" s="7">
        <f>IF(C7&gt;C9,DEC2HEX(( C18+INT((C7-C9)/2)+C9)*C33 - 1), 0)</f>
        <v>0</v>
      </c>
      <c r="D46" s="108"/>
    </row>
    <row r="48" spans="2:4" ht="18">
      <c r="B48" s="53" t="s">
        <v>77</v>
      </c>
    </row>
    <row r="49" spans="2:3">
      <c r="B49" s="47"/>
      <c r="C49" s="47" t="s">
        <v>120</v>
      </c>
    </row>
    <row r="50" spans="2:3">
      <c r="B50" s="47" t="s">
        <v>0</v>
      </c>
      <c r="C50" s="55">
        <v>0</v>
      </c>
    </row>
    <row r="51" spans="2:3">
      <c r="B51" s="47" t="s">
        <v>1</v>
      </c>
      <c r="C51" s="55">
        <f>C11</f>
        <v>20</v>
      </c>
    </row>
    <row r="52" spans="2:3">
      <c r="B52" s="47" t="s">
        <v>2</v>
      </c>
      <c r="C52" s="55">
        <v>0</v>
      </c>
    </row>
    <row r="53" spans="2:3">
      <c r="B53" s="47" t="s">
        <v>3</v>
      </c>
      <c r="C53" s="55">
        <v>0</v>
      </c>
    </row>
    <row r="54" spans="2:3">
      <c r="B54" s="47" t="s">
        <v>4</v>
      </c>
      <c r="C54" s="55">
        <v>0</v>
      </c>
    </row>
    <row r="55" spans="2:3">
      <c r="B55" s="47" t="s">
        <v>5</v>
      </c>
      <c r="C55" s="55">
        <f>C16</f>
        <v>4</v>
      </c>
    </row>
    <row r="56" spans="2:3">
      <c r="B56" s="47" t="s">
        <v>6</v>
      </c>
      <c r="C56" s="55">
        <f>C8+C11+C12+C14-1</f>
        <v>879</v>
      </c>
    </row>
    <row r="57" spans="2:3">
      <c r="B57" s="47" t="s">
        <v>7</v>
      </c>
      <c r="C57" s="55">
        <f>C16+C17+C19+C9-1</f>
        <v>1310</v>
      </c>
    </row>
    <row r="58" spans="2:3">
      <c r="B58" s="47" t="s">
        <v>8</v>
      </c>
      <c r="C58" s="55">
        <f>C11+C12</f>
        <v>90</v>
      </c>
    </row>
    <row r="59" spans="2:3">
      <c r="B59" s="47" t="s">
        <v>9</v>
      </c>
      <c r="C59" s="55">
        <f>C11+C12+C8</f>
        <v>810</v>
      </c>
    </row>
    <row r="60" spans="2:3">
      <c r="B60" s="47" t="s">
        <v>10</v>
      </c>
      <c r="C60" s="55">
        <f>C16+C17</f>
        <v>16</v>
      </c>
    </row>
    <row r="61" spans="2:3">
      <c r="B61" s="47" t="s">
        <v>11</v>
      </c>
      <c r="C61" s="55">
        <f>C9+C16+C17</f>
        <v>1296</v>
      </c>
    </row>
    <row r="62" spans="2:3">
      <c r="B62" s="47"/>
      <c r="C62" s="55"/>
    </row>
    <row r="63" spans="2:3">
      <c r="B63" s="2" t="s">
        <v>24</v>
      </c>
      <c r="C63" s="2" t="s">
        <v>25</v>
      </c>
    </row>
    <row r="64" spans="2:3">
      <c r="B64" s="3" t="s">
        <v>72</v>
      </c>
      <c r="C64" s="7" t="str">
        <f>DEC2HEX(C59*2^16 + C58)</f>
        <v>32A005A</v>
      </c>
    </row>
    <row r="65" spans="2:3">
      <c r="B65" s="3" t="s">
        <v>73</v>
      </c>
      <c r="C65" s="7" t="str">
        <f>DEC2HEX(C61*2^16+C60)</f>
        <v>5100010</v>
      </c>
    </row>
    <row r="66" spans="2:3">
      <c r="B66" s="3" t="s">
        <v>74</v>
      </c>
      <c r="C66" s="7" t="str">
        <f>DEC2HEX(C57*2^16 + C56)</f>
        <v>51E036F</v>
      </c>
    </row>
    <row r="67" spans="2:3">
      <c r="B67" s="3" t="s">
        <v>84</v>
      </c>
      <c r="C67" s="7" t="str">
        <f>DEC2HEX(C51*2^16+C50)</f>
        <v>140000</v>
      </c>
    </row>
    <row r="68" spans="2:3">
      <c r="B68" s="3" t="s">
        <v>75</v>
      </c>
      <c r="C68" s="7" t="str">
        <f>DEC2HEX(C53*2^16+C52)</f>
        <v>0</v>
      </c>
    </row>
    <row r="69" spans="2:3">
      <c r="B69" s="3" t="s">
        <v>76</v>
      </c>
      <c r="C69" s="7" t="str">
        <f>DEC2HEX(C55*2^16+C54)</f>
        <v>40000</v>
      </c>
    </row>
    <row r="70" spans="2:3">
      <c r="C70" s="54"/>
    </row>
    <row r="71" spans="2:3">
      <c r="B71" s="3" t="str">
        <f>'DSI PHY timing setting'!A42</f>
        <v>DSI_CLKOUT_TIMING_CTRL</v>
      </c>
      <c r="C71" s="7" t="s">
        <v>184</v>
      </c>
    </row>
    <row r="72" spans="2:3">
      <c r="B72" s="3"/>
      <c r="C72" s="7"/>
    </row>
    <row r="73" spans="2:3">
      <c r="B73" s="3"/>
      <c r="C73" s="7"/>
    </row>
    <row r="74" spans="2:3" ht="18">
      <c r="B74" s="53" t="s">
        <v>83</v>
      </c>
      <c r="C74" s="7"/>
    </row>
    <row r="75" spans="2:3">
      <c r="B75" s="10" t="s">
        <v>185</v>
      </c>
      <c r="C75" s="10" t="s">
        <v>137</v>
      </c>
    </row>
    <row r="76" spans="2:3">
      <c r="B76" s="10" t="str">
        <f>'DSI PHY timing setting'!A29</f>
        <v>DSIPHY_TIMING_CTRL_0</v>
      </c>
      <c r="C76" s="10" t="str">
        <f>'DSI PHY timing setting'!B29</f>
        <v>96</v>
      </c>
    </row>
    <row r="77" spans="2:3">
      <c r="B77" s="10" t="str">
        <f>'DSI PHY timing setting'!A30</f>
        <v>DSIPHY_TIMING_CTRL_1</v>
      </c>
      <c r="C77" s="10" t="str">
        <f>'DSI PHY timing setting'!B30</f>
        <v>22</v>
      </c>
    </row>
    <row r="78" spans="2:3">
      <c r="B78" s="10" t="str">
        <f>'DSI PHY timing setting'!A31</f>
        <v>DSIPHY_TIMING_CTRL_2</v>
      </c>
      <c r="C78" s="10" t="str">
        <f>'DSI PHY timing setting'!B31</f>
        <v>18</v>
      </c>
    </row>
    <row r="79" spans="2:3">
      <c r="B79" s="10" t="str">
        <f>'DSI PHY timing setting'!A32</f>
        <v xml:space="preserve">DSIPHY_TIMING_CTRL_3 </v>
      </c>
      <c r="C79" s="82">
        <f>'DSI PHY timing setting'!B32</f>
        <v>0</v>
      </c>
    </row>
    <row r="80" spans="2:3">
      <c r="B80" s="10" t="str">
        <f>'DSI PHY timing setting'!A33</f>
        <v>DSIPHY_TIMING_CTRL_4</v>
      </c>
      <c r="C80" s="10" t="str">
        <f>'DSI PHY timing setting'!B33</f>
        <v>4A</v>
      </c>
    </row>
    <row r="81" spans="2:6">
      <c r="B81" s="10" t="str">
        <f>'DSI PHY timing setting'!A34</f>
        <v>DSIPHY_TIMING_CTRL_5</v>
      </c>
      <c r="C81" s="10" t="str">
        <f>'DSI PHY timing setting'!B34</f>
        <v>4C</v>
      </c>
    </row>
    <row r="82" spans="2:6">
      <c r="B82" s="10" t="str">
        <f>'DSI PHY timing setting'!A35</f>
        <v>DSIPHY_TIMING_CTRL_6</v>
      </c>
      <c r="C82" s="10" t="str">
        <f>'DSI PHY timing setting'!B35</f>
        <v>1C</v>
      </c>
    </row>
    <row r="83" spans="2:6">
      <c r="B83" s="10" t="str">
        <f>'DSI PHY timing setting'!A36</f>
        <v>DSIPHY_TIMING_CTRL_7</v>
      </c>
      <c r="C83" s="10" t="str">
        <f>'DSI PHY timing setting'!B36</f>
        <v>26</v>
      </c>
    </row>
    <row r="84" spans="2:6">
      <c r="B84" s="10" t="str">
        <f>'DSI PHY timing setting'!A37</f>
        <v>DSIPHY_TIMING_CTRL_8</v>
      </c>
      <c r="C84" s="10" t="str">
        <f>'DSI PHY timing setting'!B37</f>
        <v>1A</v>
      </c>
    </row>
    <row r="85" spans="2:6">
      <c r="B85" s="10" t="str">
        <f>'DSI PHY timing setting'!A38</f>
        <v>DSIPHY_TIMING_CTRL_9</v>
      </c>
      <c r="C85" s="10" t="str">
        <f>'DSI PHY timing setting'!B38</f>
        <v>3</v>
      </c>
    </row>
    <row r="86" spans="2:6">
      <c r="B86" s="10" t="str">
        <f>'DSI PHY timing setting'!A39</f>
        <v>DSIPHY_TIMING_CTRL_10</v>
      </c>
      <c r="C86" s="10" t="str">
        <f>'DSI PHY timing setting'!B39</f>
        <v>4</v>
      </c>
    </row>
    <row r="87" spans="2:6">
      <c r="B87" s="3"/>
      <c r="C87" s="7"/>
    </row>
    <row r="89" spans="2:6" ht="23.25">
      <c r="B89" s="52" t="s">
        <v>27</v>
      </c>
      <c r="C89" s="3"/>
    </row>
    <row r="90" spans="2:6">
      <c r="B90" s="14" t="s">
        <v>85</v>
      </c>
      <c r="C90" s="9">
        <f>C33*C34*C2*C4*8*0.000001/C3</f>
        <v>553.76639999999998</v>
      </c>
      <c r="D90" s="14" t="s">
        <v>15</v>
      </c>
    </row>
    <row r="91" spans="2:6">
      <c r="B91" s="14" t="s">
        <v>86</v>
      </c>
      <c r="C91" s="9">
        <f>C90/8</f>
        <v>69.220799999999997</v>
      </c>
      <c r="D91" s="14" t="s">
        <v>15</v>
      </c>
    </row>
    <row r="92" spans="2:6" ht="13.5" customHeight="1">
      <c r="B92" s="14" t="s">
        <v>87</v>
      </c>
      <c r="C92" s="9">
        <f>C91*C3</f>
        <v>207.66239999999999</v>
      </c>
      <c r="D92" s="14" t="s">
        <v>15</v>
      </c>
      <c r="E92" s="51"/>
      <c r="F92" s="51"/>
    </row>
    <row r="93" spans="2:6">
      <c r="B93" s="14" t="s">
        <v>88</v>
      </c>
      <c r="C93" s="9">
        <f>C92/C4</f>
        <v>69.220799999999997</v>
      </c>
      <c r="D93" s="14" t="s">
        <v>15</v>
      </c>
    </row>
    <row r="94" spans="2:6">
      <c r="C94" s="9"/>
    </row>
    <row r="95" spans="2:6">
      <c r="C95" s="50"/>
    </row>
    <row r="96" spans="2:6">
      <c r="B96" s="49" t="s">
        <v>71</v>
      </c>
      <c r="C96" s="47"/>
      <c r="D96" s="47"/>
    </row>
    <row r="97" spans="2:4">
      <c r="B97" s="47" t="s">
        <v>69</v>
      </c>
      <c r="C97" s="47">
        <f>(C35-1)*100</f>
        <v>25.182291666666657</v>
      </c>
      <c r="D97" s="47" t="s">
        <v>70</v>
      </c>
    </row>
    <row r="98" spans="2:4">
      <c r="B98" s="47" t="s">
        <v>119</v>
      </c>
      <c r="C98" s="48">
        <f>C33/C93</f>
        <v>12.712941774726673</v>
      </c>
      <c r="D98" s="47" t="s">
        <v>166</v>
      </c>
    </row>
    <row r="99" spans="2:4">
      <c r="B99" s="47" t="s">
        <v>67</v>
      </c>
      <c r="C99" s="48">
        <f>C13/C93</f>
        <v>1.3001872269606825</v>
      </c>
      <c r="D99" s="47" t="s">
        <v>166</v>
      </c>
    </row>
    <row r="100" spans="2:4">
      <c r="B100" s="47" t="s">
        <v>30</v>
      </c>
      <c r="C100" s="48">
        <f>C6/C93</f>
        <v>10.40149781568546</v>
      </c>
      <c r="D100" s="47" t="s">
        <v>166</v>
      </c>
    </row>
    <row r="101" spans="2:4">
      <c r="B101" s="47" t="s">
        <v>31</v>
      </c>
      <c r="C101" s="48">
        <f>C14/C93</f>
        <v>1.0112567320805308</v>
      </c>
      <c r="D101" s="47" t="s">
        <v>166</v>
      </c>
    </row>
  </sheetData>
  <mergeCells count="1">
    <mergeCell ref="D44:D46"/>
  </mergeCells>
  <phoneticPr fontId="50" type="noConversion"/>
  <pageMargins left="0.25" right="0.25" top="0.5" bottom="0.65" header="0.3" footer="0.3"/>
  <pageSetup fitToHeight="0" orientation="portrait"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rowBreaks count="1" manualBreakCount="1">
    <brk id="47" max="16383" man="1"/>
  </rowBreaks>
  <legacyDrawing r:id="rId2"/>
</worksheet>
</file>

<file path=xl/worksheets/sheet5.xml><?xml version="1.0" encoding="utf-8"?>
<worksheet xmlns="http://schemas.openxmlformats.org/spreadsheetml/2006/main" xmlns:r="http://schemas.openxmlformats.org/officeDocument/2006/relationships">
  <sheetPr codeName="Sheet2">
    <pageSetUpPr fitToPage="1"/>
  </sheetPr>
  <dimension ref="A1:I51"/>
  <sheetViews>
    <sheetView showGridLines="0" tabSelected="1" view="pageBreakPreview" zoomScale="85" zoomScaleNormal="85" zoomScaleSheetLayoutView="85" workbookViewId="0">
      <selection activeCell="B29" sqref="B29"/>
    </sheetView>
  </sheetViews>
  <sheetFormatPr defaultColWidth="9.140625" defaultRowHeight="12.75"/>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9" width="9.140625" style="14"/>
    <col min="10" max="10" width="14.28515625" style="14" customWidth="1"/>
    <col min="11" max="16384" width="9.140625" style="14"/>
  </cols>
  <sheetData>
    <row r="1" spans="1:9" ht="18">
      <c r="A1" s="8" t="s">
        <v>81</v>
      </c>
    </row>
    <row r="2" spans="1:9" ht="18">
      <c r="A2" s="12" t="s">
        <v>133</v>
      </c>
      <c r="B2" s="11"/>
      <c r="G2" s="16"/>
    </row>
    <row r="3" spans="1:9">
      <c r="A3" s="24" t="s">
        <v>97</v>
      </c>
      <c r="B3" s="73">
        <f>ROUNDDOWN('DSI and MDP registers'!C90, 0)</f>
        <v>553</v>
      </c>
      <c r="C3" s="14" t="s">
        <v>98</v>
      </c>
    </row>
    <row r="4" spans="1:9">
      <c r="A4" s="24" t="s">
        <v>33</v>
      </c>
      <c r="B4" s="74">
        <f>'DSI and MDP registers'!C21/'DSI and MDP registers'!C22</f>
        <v>19.2</v>
      </c>
      <c r="C4" s="14" t="s">
        <v>15</v>
      </c>
      <c r="E4" s="31" t="s">
        <v>101</v>
      </c>
      <c r="F4" s="26"/>
      <c r="G4" s="21" t="str">
        <f>IF(MOD(($F$16+$G$10+$F$11),8)=0,"VALID","INVALID")</f>
        <v>VALID</v>
      </c>
    </row>
    <row r="5" spans="1:9">
      <c r="A5" s="24" t="s">
        <v>36</v>
      </c>
      <c r="B5" s="25">
        <f>10^3/B3</f>
        <v>1.8083182640144666</v>
      </c>
      <c r="C5" s="14" t="s">
        <v>37</v>
      </c>
    </row>
    <row r="6" spans="1:9">
      <c r="A6" s="24" t="s">
        <v>46</v>
      </c>
      <c r="B6" s="18">
        <f>10^3/B4</f>
        <v>52.083333333333336</v>
      </c>
      <c r="C6" s="14" t="s">
        <v>37</v>
      </c>
    </row>
    <row r="7" spans="1:9">
      <c r="A7" s="24" t="s">
        <v>90</v>
      </c>
      <c r="B7" s="26">
        <v>20</v>
      </c>
      <c r="C7" s="14" t="s">
        <v>37</v>
      </c>
    </row>
    <row r="8" spans="1:9">
      <c r="A8" s="29"/>
      <c r="B8" s="109" t="s">
        <v>93</v>
      </c>
      <c r="C8" s="110"/>
      <c r="D8" s="111" t="s">
        <v>78</v>
      </c>
      <c r="E8" s="111"/>
      <c r="F8" s="111"/>
      <c r="G8" s="45" t="s">
        <v>134</v>
      </c>
      <c r="H8" s="112" t="s">
        <v>135</v>
      </c>
      <c r="I8" s="6"/>
    </row>
    <row r="9" spans="1:9" s="3" customFormat="1">
      <c r="A9" s="30"/>
      <c r="B9" s="27" t="s">
        <v>50</v>
      </c>
      <c r="C9" s="19" t="s">
        <v>51</v>
      </c>
      <c r="D9" s="46" t="s">
        <v>63</v>
      </c>
      <c r="E9" s="46" t="s">
        <v>64</v>
      </c>
      <c r="F9" s="20"/>
      <c r="G9" s="45" t="s">
        <v>49</v>
      </c>
      <c r="H9" s="113"/>
      <c r="I9" s="6"/>
    </row>
    <row r="10" spans="1:9">
      <c r="A10" s="30" t="s">
        <v>32</v>
      </c>
      <c r="B10" s="28">
        <v>38</v>
      </c>
      <c r="C10" s="21">
        <v>95</v>
      </c>
      <c r="D10" s="18">
        <f>ROUNDUP(B10/$B$5, 0) - 2</f>
        <v>20</v>
      </c>
      <c r="E10" s="18">
        <f>ROUNDUP(C10/$B$5, 0) - 2</f>
        <v>51</v>
      </c>
      <c r="F10" s="18">
        <f>IF(MOD(ROUNDUP((E10-D10)*($F$48/100)+D10, 0),2)=0, ROUNDUP((E10-D10)*($F$48/100)+D10, 0), ROUNDUP((E10-D10)*($F$48/100)+D10, 0)-1)</f>
        <v>24</v>
      </c>
      <c r="G10" s="22">
        <f>F10</f>
        <v>24</v>
      </c>
      <c r="H10" s="17">
        <f>(QUOTIENT(G10,2)+1)*2*$B$5</f>
        <v>47.016274864376129</v>
      </c>
    </row>
    <row r="11" spans="1:9">
      <c r="A11" s="30" t="s">
        <v>34</v>
      </c>
      <c r="B11" s="28">
        <f>300-H10</f>
        <v>252.98372513562387</v>
      </c>
      <c r="C11" s="21"/>
      <c r="D11" s="18">
        <f>ROUNDUP(B11/$B$5, 0) - 2</f>
        <v>138</v>
      </c>
      <c r="E11" s="18">
        <f>IF(D11&gt; 255, 511, 255)</f>
        <v>255</v>
      </c>
      <c r="F11" s="18">
        <v>150</v>
      </c>
      <c r="G11" s="22">
        <f>IF(MOD(($F$16 + $G$10 + $F$11), 8)=0, $F$11, "INVALID")</f>
        <v>150</v>
      </c>
      <c r="H11" s="17">
        <f>(QUOTIENT(G11,2)+1)*2*$B$5</f>
        <v>274.86437613019893</v>
      </c>
    </row>
    <row r="12" spans="1:9">
      <c r="A12" s="30" t="s">
        <v>35</v>
      </c>
      <c r="B12" s="28">
        <v>60</v>
      </c>
      <c r="C12" s="21">
        <f>C22-$B$7</f>
        <v>106.6998191681736</v>
      </c>
      <c r="D12" s="18">
        <f>ROUNDUP(B12/$B$5, 0) - 2</f>
        <v>32</v>
      </c>
      <c r="E12" s="18">
        <f>ROUNDUP(C12/$B$5, 0) - 2</f>
        <v>58</v>
      </c>
      <c r="F12" s="18">
        <f>IF(MOD(ROUNDUP((E12-D12)*($F$51/100)+D12, 0),2)=0, ROUNDUP((E12-D12)*($F$51/100)+D12, 0), ROUNDUP((E12-D12)*($F$51/100)+D12, 0)-1)</f>
        <v>34</v>
      </c>
      <c r="G12" s="22">
        <f>IF(F12 &lt; 0, 0, F12)</f>
        <v>34</v>
      </c>
      <c r="H12" s="17">
        <f t="shared" ref="H12:H17" si="0">(QUOTIENT(G12,2)+1)*2*$B$5</f>
        <v>65.099457504520799</v>
      </c>
    </row>
    <row r="13" spans="1:9">
      <c r="A13" s="30" t="s">
        <v>38</v>
      </c>
      <c r="B13" s="28">
        <f>40+4*B5</f>
        <v>47.233273056057868</v>
      </c>
      <c r="C13" s="21">
        <f>85+6*B5</f>
        <v>95.849909584086802</v>
      </c>
      <c r="D13" s="18">
        <f>ROUNDUP(B13/$B$5, 0) - 2</f>
        <v>25</v>
      </c>
      <c r="E13" s="18">
        <f>ROUNDUP(C13/$B$5, 0) - 2</f>
        <v>52</v>
      </c>
      <c r="F13" s="18">
        <f>IF(MOD(ROUNDUP((E13-D13)*($F$49/100)+D13, 0),2)=0, ROUNDUP((E13-D13)*($F$49/100)+D13, 0), ROUNDUP((E13-D13)*($F$49/100)+D13, 0)-1)</f>
        <v>28</v>
      </c>
      <c r="G13" s="22">
        <f>IF(F13 &lt; 0, 0, F13)</f>
        <v>28</v>
      </c>
      <c r="H13" s="17">
        <f>(QUOTIENT(G13,2)+1)*2*$B$5 + 2*$B$5</f>
        <v>57.866184448462931</v>
      </c>
      <c r="I13" s="51"/>
    </row>
    <row r="14" spans="1:9">
      <c r="A14" s="30" t="s">
        <v>39</v>
      </c>
      <c r="B14" s="28">
        <f>145+10*B5-H13</f>
        <v>105.21699819168172</v>
      </c>
      <c r="C14" s="21"/>
      <c r="D14" s="18">
        <f>ROUNDUP(B14/$B$5, 0) - 2</f>
        <v>57</v>
      </c>
      <c r="E14" s="18">
        <v>255</v>
      </c>
      <c r="F14" s="18">
        <f>IF(MOD(ROUNDUP((E14-D14)*($F$50/100)+D14, 0),2)=0, ROUNDUP((E14-D14)*($F$50/100)+D14, 0), ROUNDUP((E14-D14)*($F$50/100)+D14, 0)-1)</f>
        <v>76</v>
      </c>
      <c r="G14" s="22">
        <f>IF(F14&lt;24,24,F14)</f>
        <v>76</v>
      </c>
      <c r="H14" s="17">
        <f t="shared" si="0"/>
        <v>141.04882459312839</v>
      </c>
      <c r="I14" s="51"/>
    </row>
    <row r="15" spans="1:9">
      <c r="A15" s="30" t="s">
        <v>40</v>
      </c>
      <c r="B15" s="28">
        <f xml:space="preserve"> 60+4*B5</f>
        <v>67.233273056057868</v>
      </c>
      <c r="C15" s="21">
        <f>C21-$B$7</f>
        <v>106.6998191681736</v>
      </c>
      <c r="D15" s="18">
        <f>ROUNDUP(B15/$B$5, 0) - 2</f>
        <v>36</v>
      </c>
      <c r="E15" s="18">
        <f>ROUNDUP(C15/$B$5, 0) - 2</f>
        <v>58</v>
      </c>
      <c r="F15" s="18">
        <f>IF(MOD(ROUNDUP((E15-D15)*($F$51/100)+D15, 0),2)=0, ROUNDUP((E15-D15)*($F$51/100)+D15, 0), ROUNDUP((E15-D15)*($F$51/100)+D15, 0)-1)</f>
        <v>38</v>
      </c>
      <c r="G15" s="22">
        <f>IF(F15&lt;0, 0, F15)</f>
        <v>38</v>
      </c>
      <c r="H15" s="17">
        <f t="shared" si="0"/>
        <v>72.332730560578668</v>
      </c>
      <c r="I15" s="51"/>
    </row>
    <row r="16" spans="1:9">
      <c r="A16" s="30" t="s">
        <v>41</v>
      </c>
      <c r="B16" s="28"/>
      <c r="C16" s="21"/>
      <c r="D16" s="18"/>
      <c r="E16" s="18"/>
      <c r="F16" s="18">
        <f>IF(MOD(ROUNDDOWN($B$6/$B$5, 0),2)=0, ROUNDDOWN($B$6/$B$5, 0)-2, ROUNDDOWN($B$6/$B$5,0))</f>
        <v>26</v>
      </c>
      <c r="G16" s="22">
        <f>IF(F16&lt;0, 0, F16)</f>
        <v>26</v>
      </c>
      <c r="H16" s="17">
        <f t="shared" si="0"/>
        <v>50.632911392405063</v>
      </c>
      <c r="I16" s="51"/>
    </row>
    <row r="17" spans="1:8">
      <c r="A17" s="30" t="s">
        <v>42</v>
      </c>
      <c r="B17" s="28">
        <v>100</v>
      </c>
      <c r="C17" s="21"/>
      <c r="D17" s="18">
        <f>ROUNDUP(B17/$B$5, 0) - 2</f>
        <v>54</v>
      </c>
      <c r="E17" s="18">
        <v>255</v>
      </c>
      <c r="F17" s="18">
        <f>IF(MOD(ROUNDUP((E17-D17)*($F$50/100)+D17, 0),2)=0, ROUNDUP((E17-D17)*($F$50/100)+D17, 0), ROUNDUP((E17-D17)*($F$50/100)+D17, 0)-1)</f>
        <v>74</v>
      </c>
      <c r="G17" s="22">
        <f>IF(F17&lt;0, 0, F17)</f>
        <v>74</v>
      </c>
      <c r="H17" s="17">
        <f t="shared" si="0"/>
        <v>137.43218806509947</v>
      </c>
    </row>
    <row r="18" spans="1:8">
      <c r="A18" s="30" t="s">
        <v>43</v>
      </c>
      <c r="B18" s="28">
        <f>4*B6</f>
        <v>208.33333333333334</v>
      </c>
      <c r="C18" s="21">
        <f>4*B6</f>
        <v>208.33333333333334</v>
      </c>
      <c r="D18" s="18"/>
      <c r="E18" s="18"/>
      <c r="F18" s="18">
        <f>B18</f>
        <v>208.33333333333334</v>
      </c>
      <c r="G18" s="22">
        <v>3</v>
      </c>
      <c r="H18" s="18">
        <f>(G18+1)*10^3/$B$4</f>
        <v>208.33333333333334</v>
      </c>
    </row>
    <row r="19" spans="1:8">
      <c r="A19" s="30" t="s">
        <v>45</v>
      </c>
      <c r="B19" s="28">
        <f>B6</f>
        <v>52.083333333333336</v>
      </c>
      <c r="C19" s="21">
        <f>2*B6</f>
        <v>104.16666666666667</v>
      </c>
      <c r="D19" s="18"/>
      <c r="E19" s="18"/>
      <c r="F19" s="18">
        <f>B19</f>
        <v>52.083333333333336</v>
      </c>
      <c r="G19" s="22">
        <v>0</v>
      </c>
      <c r="H19" s="18">
        <f>(G19+2)*10^3/$B$4</f>
        <v>104.16666666666667</v>
      </c>
    </row>
    <row r="20" spans="1:8">
      <c r="A20" s="30" t="s">
        <v>44</v>
      </c>
      <c r="B20" s="28">
        <f>5*B6</f>
        <v>260.41666666666669</v>
      </c>
      <c r="C20" s="21">
        <f>5*B6</f>
        <v>260.41666666666669</v>
      </c>
      <c r="D20" s="18"/>
      <c r="E20" s="18"/>
      <c r="F20" s="18">
        <f>B20</f>
        <v>260.41666666666669</v>
      </c>
      <c r="G20" s="22">
        <v>4</v>
      </c>
      <c r="H20" s="18">
        <f>(G20+1)*10^3/$B$4</f>
        <v>260.41666666666669</v>
      </c>
    </row>
    <row r="21" spans="1:8">
      <c r="A21" s="30" t="s">
        <v>91</v>
      </c>
      <c r="B21" s="28"/>
      <c r="C21" s="21">
        <f>105+12*$B$5</f>
        <v>126.6998191681736</v>
      </c>
      <c r="D21" s="18"/>
      <c r="E21" s="18"/>
      <c r="F21" s="18"/>
      <c r="G21" s="23"/>
      <c r="H21" s="18">
        <f>H15+$B$7/2</f>
        <v>82.332730560578668</v>
      </c>
    </row>
    <row r="22" spans="1:8">
      <c r="A22" s="30" t="s">
        <v>92</v>
      </c>
      <c r="B22" s="28"/>
      <c r="C22" s="21">
        <f>105+12*$B$5</f>
        <v>126.6998191681736</v>
      </c>
      <c r="D22" s="18"/>
      <c r="E22" s="18"/>
      <c r="F22" s="18"/>
      <c r="G22" s="23"/>
      <c r="H22" s="18">
        <f>H12 + $B$7/2</f>
        <v>75.099457504520799</v>
      </c>
    </row>
    <row r="23" spans="1:8">
      <c r="A23" s="30" t="s">
        <v>47</v>
      </c>
      <c r="B23" s="28">
        <f>60+52*B5</f>
        <v>154.03254972875226</v>
      </c>
      <c r="C23" s="21"/>
      <c r="D23" s="18">
        <f>ROUNDUP((B23-24*B5-H17)/(8*B5), 0)-1</f>
        <v>-3</v>
      </c>
      <c r="E23" s="18">
        <v>63</v>
      </c>
      <c r="F23" s="18">
        <f>ROUNDUP((E23-D23)*($F$50/100)+D23, 0)</f>
        <v>4</v>
      </c>
      <c r="G23" s="22">
        <f>IF(F23&lt;0, 0, F23)</f>
        <v>4</v>
      </c>
      <c r="H23" s="18">
        <f>(G23+1)*8*B5+H17+24*B5</f>
        <v>253.16455696202536</v>
      </c>
    </row>
    <row r="24" spans="1:8">
      <c r="A24" s="30" t="s">
        <v>48</v>
      </c>
      <c r="B24" s="28">
        <f>8*B5</f>
        <v>14.466546112115733</v>
      </c>
      <c r="C24" s="21"/>
      <c r="D24" s="18">
        <f>ROUNDUP((B24+$H$10+$H$11+$B$6)/(8*$B$5),0)-1</f>
        <v>26</v>
      </c>
      <c r="E24" s="18">
        <v>63</v>
      </c>
      <c r="F24" s="18">
        <f>IF(D24&gt;63, ROUNDUP((E24*2-D24)*($F$50/100)+D24, 0), ROUNDUP((E24-D24)*($F$50/100)+D24, 0))</f>
        <v>30</v>
      </c>
      <c r="G24" s="22">
        <f>IF(F24&lt;0, 0, IF(D24&gt;E24, ROUNDDOWN(F24/2, 0), F24))</f>
        <v>30</v>
      </c>
      <c r="H24" s="18">
        <f>IF(D24&gt;E24,(G24+1)*16*B5-B6-H10-H11,(G24+1)*8*B5-B6-H10-H11)</f>
        <v>74.498945147679365</v>
      </c>
    </row>
    <row r="25" spans="1:8">
      <c r="A25" s="30" t="s">
        <v>136</v>
      </c>
      <c r="B25" s="3"/>
      <c r="C25" s="3"/>
      <c r="D25" s="5"/>
      <c r="H25" s="18">
        <f>SUM(H10:H17) + SUM(H23:H24)  +B6+8*B5</f>
        <v>1240.506329113924</v>
      </c>
    </row>
    <row r="26" spans="1:8">
      <c r="A26" s="30"/>
      <c r="B26" s="6"/>
      <c r="C26" s="6"/>
      <c r="D26" s="3"/>
      <c r="E26" s="3"/>
      <c r="F26" s="5"/>
      <c r="G26" s="4"/>
    </row>
    <row r="27" spans="1:8" ht="18">
      <c r="A27" s="75" t="s">
        <v>80</v>
      </c>
    </row>
    <row r="28" spans="1:8">
      <c r="A28" s="30" t="s">
        <v>161</v>
      </c>
      <c r="B28" s="31" t="s">
        <v>137</v>
      </c>
      <c r="C28" s="3"/>
    </row>
    <row r="29" spans="1:8">
      <c r="A29" s="30" t="s">
        <v>148</v>
      </c>
      <c r="B29" s="26" t="str">
        <f>IF(F11&gt;255, DEC2HEX(G11 - 255), DEC2HEX(G11))</f>
        <v>96</v>
      </c>
      <c r="C29" s="13"/>
    </row>
    <row r="30" spans="1:8">
      <c r="A30" s="30" t="s">
        <v>149</v>
      </c>
      <c r="B30" s="26" t="str">
        <f>DEC2HEX(G12)</f>
        <v>22</v>
      </c>
      <c r="C30" s="13"/>
    </row>
    <row r="31" spans="1:8">
      <c r="A31" s="30" t="s">
        <v>150</v>
      </c>
      <c r="B31" s="26" t="str">
        <f>DEC2HEX(G10)</f>
        <v>18</v>
      </c>
      <c r="C31" s="13"/>
    </row>
    <row r="32" spans="1:8">
      <c r="A32" s="30" t="s">
        <v>151</v>
      </c>
      <c r="B32" s="76">
        <f>IF(F11&gt;255, 1, 0)</f>
        <v>0</v>
      </c>
      <c r="C32" s="13"/>
    </row>
    <row r="33" spans="1:7">
      <c r="A33" s="30" t="s">
        <v>152</v>
      </c>
      <c r="B33" s="26" t="str">
        <f>DEC2HEX(G17)</f>
        <v>4A</v>
      </c>
      <c r="C33" s="13"/>
    </row>
    <row r="34" spans="1:7">
      <c r="A34" s="30" t="s">
        <v>153</v>
      </c>
      <c r="B34" s="26" t="str">
        <f>DEC2HEX(G14)</f>
        <v>4C</v>
      </c>
      <c r="C34" s="13"/>
      <c r="G34" s="14" t="s">
        <v>89</v>
      </c>
    </row>
    <row r="35" spans="1:7">
      <c r="A35" s="30" t="s">
        <v>154</v>
      </c>
      <c r="B35" s="26" t="str">
        <f>DEC2HEX(G13)</f>
        <v>1C</v>
      </c>
      <c r="C35" s="13"/>
    </row>
    <row r="36" spans="1:7">
      <c r="A36" s="30" t="s">
        <v>155</v>
      </c>
      <c r="B36" s="26" t="str">
        <f>DEC2HEX(G15)</f>
        <v>26</v>
      </c>
      <c r="C36" s="13"/>
    </row>
    <row r="37" spans="1:7">
      <c r="A37" s="30" t="s">
        <v>156</v>
      </c>
      <c r="B37" s="26" t="str">
        <f>DEC2HEX(G16)</f>
        <v>1A</v>
      </c>
      <c r="C37" s="13"/>
    </row>
    <row r="38" spans="1:7">
      <c r="A38" s="30" t="s">
        <v>157</v>
      </c>
      <c r="B38" s="26" t="str">
        <f>DEC2HEX(G19*2^4+G18)</f>
        <v>3</v>
      </c>
      <c r="C38" s="13"/>
    </row>
    <row r="39" spans="1:7">
      <c r="A39" s="30" t="s">
        <v>158</v>
      </c>
      <c r="B39" s="26" t="str">
        <f>DEC2HEX(G20)</f>
        <v>4</v>
      </c>
      <c r="C39" s="13"/>
    </row>
    <row r="40" spans="1:7">
      <c r="A40" s="26"/>
      <c r="C40" s="13"/>
    </row>
    <row r="41" spans="1:7" ht="18">
      <c r="A41" s="77" t="s">
        <v>82</v>
      </c>
      <c r="B41" s="26"/>
    </row>
    <row r="42" spans="1:7">
      <c r="A42" s="30" t="s">
        <v>159</v>
      </c>
      <c r="B42" s="26" t="str">
        <f>DEC2HEX(G23*256+G24)</f>
        <v>41E</v>
      </c>
      <c r="C42" s="13"/>
    </row>
    <row r="43" spans="1:7">
      <c r="A43" s="30" t="s">
        <v>160</v>
      </c>
      <c r="B43" s="76">
        <f>IF(E24 &lt; D24, 1, 0)</f>
        <v>0</v>
      </c>
    </row>
    <row r="48" spans="1:7">
      <c r="E48" s="15" t="s">
        <v>99</v>
      </c>
      <c r="F48" s="14">
        <v>10</v>
      </c>
    </row>
    <row r="49" spans="5:6">
      <c r="E49" s="15" t="s">
        <v>100</v>
      </c>
      <c r="F49" s="14">
        <f>IF($B$3&gt;1200, 15, 10)</f>
        <v>10</v>
      </c>
    </row>
    <row r="50" spans="5:6">
      <c r="E50" s="15" t="s">
        <v>94</v>
      </c>
      <c r="F50" s="14">
        <v>10</v>
      </c>
    </row>
    <row r="51" spans="5:6">
      <c r="E51" s="15" t="s">
        <v>95</v>
      </c>
      <c r="F51" s="14">
        <f>IF($B$3&gt;180, 10, 40)</f>
        <v>10</v>
      </c>
    </row>
  </sheetData>
  <mergeCells count="3">
    <mergeCell ref="B8:C8"/>
    <mergeCell ref="D8:F8"/>
    <mergeCell ref="H8:H9"/>
  </mergeCells>
  <phoneticPr fontId="50"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25" right="0.25" top="0.5" bottom="0.65" header="0.3" footer="0.3"/>
  <pageSetup scale="76" orientation="landscape"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p:Policy xmlns:p="office.server.policy" id="" local="true">
  <p:Name>Document</p:Name>
  <p:Description/>
  <p:Statement/>
  <p:PolicyItems>
    <p:PolicyItem featureId="QualcommTagPolicy" staticId="0x010100BC669EF95D1E2B4E865FD21AABAE9A1C" UniqueId="331e85ec-4809-49f9-b6be-7a474ed9c6fb">
      <p:Name>Qualcomm Tagging Policy</p:Name>
      <p:Description>Qualcomm Custom Policy for Tagging</p:Description>
      <p:CustomData/>
    </p:PolicyItem>
  </p:PolicyItems>
</p:Policy>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BC669EF95D1E2B4E865FD21AABAE9A1C" ma:contentTypeVersion="13" ma:contentTypeDescription="Create a new document." ma:contentTypeScope="" ma:versionID="696b5f70abee45f248455fd35dabc6e8">
  <xsd:schema xmlns:xsd="http://www.w3.org/2001/XMLSchema" xmlns:xs="http://www.w3.org/2001/XMLSchema" xmlns:p="http://schemas.microsoft.com/office/2006/metadata/properties" xmlns:ns1="http://schemas.microsoft.com/sharepoint/v3" xmlns:ns2="9878df2e-8830-4198-8547-d30413910f45" xmlns:ns3="http://schemas.microsoft.com/sharepoint/v4" targetNamespace="http://schemas.microsoft.com/office/2006/metadata/properties" ma:root="true" ma:fieldsID="08a587895fc2a523eb3b43ef19c0fdbe" ns1:_="" ns2:_="" ns3:_="">
    <xsd:import namespace="http://schemas.microsoft.com/sharepoint/v3"/>
    <xsd:import namespace="9878df2e-8830-4198-8547-d30413910f45"/>
    <xsd:import namespace="http://schemas.microsoft.com/sharepoint/v4"/>
    <xsd:element name="properties">
      <xsd:complexType>
        <xsd:sequence>
          <xsd:element name="documentManagement">
            <xsd:complexType>
              <xsd:all>
                <xsd:element ref="ns1:EmailSender" minOccurs="0"/>
                <xsd:element ref="ns1:EmailTo" minOccurs="0"/>
                <xsd:element ref="ns1:EmailCc" minOccurs="0"/>
                <xsd:element ref="ns1:EmailFrom" minOccurs="0"/>
                <xsd:element ref="ns1:EmailSubject" minOccurs="0"/>
                <xsd:element ref="ns2:_dlc_DocId" minOccurs="0"/>
                <xsd:element ref="ns2:_dlc_DocIdUrl" minOccurs="0"/>
                <xsd:element ref="ns2:_dlc_DocIdPersistId" minOccurs="0"/>
                <xsd:element ref="ns3:EmailHeaders" minOccurs="0"/>
                <xsd:element ref="ns1:_dlc_Exempt" minOccurs="0"/>
                <xsd:element ref="ns2:QBU"/>
                <xsd:element ref="ns2:QDEPT"/>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mailSender" ma:index="8" nillable="true" ma:displayName="E-Mail Sender" ma:hidden="true" ma:internalName="EmailSender">
      <xsd:simpleType>
        <xsd:restriction base="dms:Note">
          <xsd:maxLength value="255"/>
        </xsd:restriction>
      </xsd:simpleType>
    </xsd:element>
    <xsd:element name="EmailTo" ma:index="9" nillable="true" ma:displayName="E-Mail To" ma:hidden="true" ma:internalName="EmailTo">
      <xsd:simpleType>
        <xsd:restriction base="dms:Note">
          <xsd:maxLength value="255"/>
        </xsd:restriction>
      </xsd:simpleType>
    </xsd:element>
    <xsd:element name="EmailCc" ma:index="10" nillable="true" ma:displayName="E-Mail Cc" ma:hidden="true" ma:internalName="EmailCc">
      <xsd:simpleType>
        <xsd:restriction base="dms:Note">
          <xsd:maxLength value="255"/>
        </xsd:restriction>
      </xsd:simpleType>
    </xsd:element>
    <xsd:element name="EmailFrom" ma:index="11" nillable="true" ma:displayName="E-Mail From" ma:hidden="true" ma:internalName="EmailFrom">
      <xsd:simpleType>
        <xsd:restriction base="dms:Text"/>
      </xsd:simpleType>
    </xsd:element>
    <xsd:element name="EmailSubject" ma:index="12" nillable="true" ma:displayName="E-Mail Subject" ma:hidden="true" ma:internalName="EmailSubject">
      <xsd:simpleType>
        <xsd:restriction base="dms:Text"/>
      </xsd:simpleType>
    </xsd:element>
    <xsd:element name="_dlc_Exempt" ma:index="17"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878df2e-8830-4198-8547-d30413910f45" elementFormDefault="qualified">
    <xsd:import namespace="http://schemas.microsoft.com/office/2006/documentManagement/types"/>
    <xsd:import namespace="http://schemas.microsoft.com/office/infopath/2007/PartnerControls"/>
    <xsd:element name="_dlc_DocId" ma:index="13" nillable="true" ma:displayName="Document ID Value" ma:description="The value of the document ID assigned to this item." ma:internalName="_dlc_DocId" ma:readOnly="true">
      <xsd:simpleType>
        <xsd:restriction base="dms:Text"/>
      </xsd:simpleType>
    </xsd:element>
    <xsd:element name="_dlc_DocIdUrl" ma:index="1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5" nillable="true" ma:displayName="Persist ID" ma:description="Keep ID on add." ma:hidden="true" ma:internalName="_dlc_DocIdPersistId" ma:readOnly="true">
      <xsd:simpleType>
        <xsd:restriction base="dms:Boolean"/>
      </xsd:simpleType>
    </xsd:element>
    <xsd:element name="QBU" ma:index="18" ma:displayName="Qualcomm Business Unit" ma:default="QCT" ma:internalName="QBU" ma:readOnly="true">
      <xsd:simpleType>
        <xsd:restriction base="dms:Text"/>
      </xsd:simpleType>
    </xsd:element>
    <xsd:element name="QDEPT" ma:index="19" ma:displayName="Qualcomm Department" ma:default="QCT-PM" ma:internalName="QDEPT"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EmailHeaders" ma:index="16" nillable="true" ma:displayName="E-Mail Headers" ma:hidden="true" ma:internalName="EmailHeader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EmailTo xmlns="http://schemas.microsoft.com/sharepoint/v3" xsi:nil="true"/>
    <EmailHeaders xmlns="http://schemas.microsoft.com/sharepoint/v4" xsi:nil="true"/>
    <EmailSender xmlns="http://schemas.microsoft.com/sharepoint/v3" xsi:nil="true"/>
    <EmailFrom xmlns="http://schemas.microsoft.com/sharepoint/v3" xsi:nil="true"/>
    <EmailSubject xmlns="http://schemas.microsoft.com/sharepoint/v3" xsi:nil="true"/>
    <EmailCc xmlns="http://schemas.microsoft.com/sharepoint/v3" xsi:nil="true"/>
    <_dlc_DocId xmlns="9878df2e-8830-4198-8547-d30413910f45">SDK3MQTHXQ3K-9-305</_dlc_DocId>
    <_dlc_DocIdUrl xmlns="9878df2e-8830-4198-8547-d30413910f45">
      <Url>http://projects/sites/QSERDES28/_layouts/DocIdRedir.aspx?ID=SDK3MQTHXQ3K-9-305</Url>
      <Description>SDK3MQTHXQ3K-9-305</Description>
    </_dlc_DocIdUrl>
  </documentManagement>
</p:properties>
</file>

<file path=customXml/itemProps1.xml><?xml version="1.0" encoding="utf-8"?>
<ds:datastoreItem xmlns:ds="http://schemas.openxmlformats.org/officeDocument/2006/customXml" ds:itemID="{5C484024-DC26-448B-AC77-CF0A784ABA38}">
  <ds:schemaRefs>
    <ds:schemaRef ds:uri="http://schemas.microsoft.com/sharepoint/events"/>
  </ds:schemaRefs>
</ds:datastoreItem>
</file>

<file path=customXml/itemProps2.xml><?xml version="1.0" encoding="utf-8"?>
<ds:datastoreItem xmlns:ds="http://schemas.openxmlformats.org/officeDocument/2006/customXml" ds:itemID="{3D7C1EAB-9DA8-4679-9DA9-14CECE056963}">
  <ds:schemaRefs>
    <ds:schemaRef ds:uri="office.server.policy"/>
  </ds:schemaRefs>
</ds:datastoreItem>
</file>

<file path=customXml/itemProps3.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4.xml><?xml version="1.0" encoding="utf-8"?>
<ds:datastoreItem xmlns:ds="http://schemas.openxmlformats.org/officeDocument/2006/customXml" ds:itemID="{DBA4608F-5200-43E6-B573-A76ABCEB75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78df2e-8830-4198-8547-d30413910f45"/>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6C0DF2D6-B4AF-45CE-9F65-12B2E83F900D}">
  <ds:schemaRefs>
    <ds:schemaRef ds:uri="http://schemas.microsoft.com/office/2006/metadata/properties"/>
    <ds:schemaRef ds:uri="http://schemas.microsoft.com/office/infopath/2007/PartnerControls"/>
    <ds:schemaRef ds:uri="http://schemas.microsoft.com/sharepoint/v3"/>
    <ds:schemaRef ds:uri="http://schemas.microsoft.com/sharepoint/v4"/>
    <ds:schemaRef ds:uri="9878df2e-8830-4198-8547-d30413910f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23</vt:i4>
      </vt:variant>
    </vt:vector>
  </HeadingPairs>
  <TitlesOfParts>
    <vt:vector size="28" baseType="lpstr">
      <vt:lpstr>QTI_Title_Page</vt:lpstr>
      <vt:lpstr>Rev. History</vt:lpstr>
      <vt:lpstr>User Instructions</vt:lpstr>
      <vt:lpstr>DSI and MDP registers</vt:lpstr>
      <vt:lpstr>DSI PHY timing setting</vt:lpstr>
      <vt:lpstr>'DSI PHY timing setting'!Print_Area</vt:lpstr>
      <vt:lpstr>QTI_Title_Page!Print_Area</vt:lpstr>
      <vt:lpstr>'Rev. History'!Print_Area</vt:lpstr>
      <vt:lpstr>'User Instructions'!Print_Area</vt:lpstr>
      <vt:lpstr>QTI_Title_Page!strQCTDocumentName</vt:lpstr>
      <vt:lpstr>QTI_Title_Page!vQCTAddress</vt:lpstr>
      <vt:lpstr>QTI_Title_Page!vQCTCopyright</vt:lpstr>
      <vt:lpstr>QTI_Title_Page!vQCTCopyrightHolder</vt:lpstr>
      <vt:lpstr>QTI_Title_Page!vQCTDistribution1</vt:lpstr>
      <vt:lpstr>QTI_Title_Page!vQCTDistribution2</vt:lpstr>
      <vt:lpstr>QTI_Title_Page!vQCTDistribution3</vt:lpstr>
      <vt:lpstr>QTI_Title_Page!vQCTDistribution4</vt:lpstr>
      <vt:lpstr>QTI_Title_Page!vQCTDocumentDate</vt:lpstr>
      <vt:lpstr>QTI_Title_Page!vQCTDocumentDCN</vt:lpstr>
      <vt:lpstr>QTI_Title_Page!vQCTDocumentName</vt:lpstr>
      <vt:lpstr>QTI_Title_Page!vQCTDocumentType</vt:lpstr>
      <vt:lpstr>QTI_Title_Page!vQCTLogoHolder</vt:lpstr>
      <vt:lpstr>QTI_Title_Page!vQCTStmtTitle</vt:lpstr>
      <vt:lpstr>QTI_Title_Page!vQCTSupportInfo</vt:lpstr>
      <vt:lpstr>QTI_Title_Page!vQTICopyrightHolder</vt:lpstr>
      <vt:lpstr>QTI_Title_Page!vQTIDistribution0.5</vt:lpstr>
      <vt:lpstr>QTI_Title_Page!vQTIEntityName</vt:lpstr>
      <vt:lpstr>vRevisionDate</vt:lpstr>
    </vt:vector>
  </TitlesOfParts>
  <Company>Qualcomm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binq</cp:lastModifiedBy>
  <cp:lastPrinted>2014-07-01T18:42:58Z</cp:lastPrinted>
  <dcterms:created xsi:type="dcterms:W3CDTF">2009-08-29T21:51:38Z</dcterms:created>
  <dcterms:modified xsi:type="dcterms:W3CDTF">2016-12-30T01:04:13Z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-387610140</vt:i4>
  </property>
  <property fmtid="{D5CDD505-2E9C-101B-9397-08002B2CF9AE}" pid="3" name="_NewReviewCycle">
    <vt:lpwstr/>
  </property>
  <property fmtid="{D5CDD505-2E9C-101B-9397-08002B2CF9AE}" pid="4" name="_EmailSubject">
    <vt:lpwstr>[Question] DSI parameter to enter in 80-NH713-1</vt:lpwstr>
  </property>
  <property fmtid="{D5CDD505-2E9C-101B-9397-08002B2CF9AE}" pid="5" name="_AuthorEmail">
    <vt:lpwstr>kitfongn@qti.qualcomm.com</vt:lpwstr>
  </property>
  <property fmtid="{D5CDD505-2E9C-101B-9397-08002B2CF9AE}" pid="6" name="_AuthorEmailDisplayName">
    <vt:lpwstr>Ng, Kit</vt:lpwstr>
  </property>
  <property fmtid="{D5CDD505-2E9C-101B-9397-08002B2CF9AE}" pid="7" name="ContentTypeId">
    <vt:lpwstr>0x010100BC669EF95D1E2B4E865FD21AABAE9A1C</vt:lpwstr>
  </property>
  <property fmtid="{D5CDD505-2E9C-101B-9397-08002B2CF9AE}" pid="8" name="_dlc_DocIdItemGuid">
    <vt:lpwstr>a45c0a49-eb27-4ae7-8534-985d48b4ddba</vt:lpwstr>
  </property>
  <property fmtid="{D5CDD505-2E9C-101B-9397-08002B2CF9AE}" pid="9" name="_PreviousAdHocReviewCycleID">
    <vt:i4>894503896</vt:i4>
  </property>
  <property fmtid="{D5CDD505-2E9C-101B-9397-08002B2CF9AE}" pid="10" name="_ReviewingToolsShownOnce">
    <vt:lpwstr/>
  </property>
</Properties>
</file>